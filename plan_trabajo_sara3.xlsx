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en Ejecutivo" sheetId="1" state="visible" r:id="rId3"/>
    <sheet name="Cronograma (Gantt)" sheetId="2" state="visible" r:id="rId4"/>
    <sheet name="Plan de Trabajo - Front" sheetId="3" state="visible" r:id="rId5"/>
    <sheet name="Plan de Trabajo - APIs" sheetId="4" state="visible" r:id="rId6"/>
    <sheet name="Riesgos y Supuestos" sheetId="5" state="visible" r:id="rId7"/>
    <sheet name="Leyend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<sst xmlns="http://schemas.openxmlformats.org/spreadsheetml/2006/main" count="743" uniqueCount="287">
  <si>
    <t xml:space="preserve">PLAN DE TRABAJO — AUTOMATIZACIÓN SARA3</t>
  </si>
  <si>
    <t xml:space="preserve">Screenplay · Serenity BDD/REST · Cucumber · Selenium   |   Responsable: Sergio Anaya   |   Solicitado por: Angela Maria Perez Zapata   |   Equipo actual: 4 analista(s) · escalable de 1 a 4</t>
  </si>
  <si>
    <t xml:space="preserve">RESUMEN POR FRENTE</t>
  </si>
  <si>
    <t xml:space="preserve">Frente</t>
  </si>
  <si>
    <t xml:space="preserve">Módulos</t>
  </si>
  <si>
    <t xml:space="preserve">Horas est.</t>
  </si>
  <si>
    <t xml:space="preserve">Horas reales</t>
  </si>
  <si>
    <t xml:space="preserve">% Avance</t>
  </si>
  <si>
    <t xml:space="preserve">Fecha inicio</t>
  </si>
  <si>
    <t xml:space="preserve">Fecha fin</t>
  </si>
  <si>
    <t xml:space="preserve">Front (UI)</t>
  </si>
  <si>
    <t xml:space="preserve">APIs (Serenity REST)</t>
  </si>
  <si>
    <t xml:space="preserve">TOTAL</t>
  </si>
  <si>
    <t xml:space="preserve">Contingencia (15%)</t>
  </si>
  <si>
    <t xml:space="preserve">Total con contingencia (h)</t>
  </si>
  <si>
    <t xml:space="preserve">Duración del proyecto (equipo en paralelo)</t>
  </si>
  <si>
    <t xml:space="preserve">→</t>
  </si>
  <si>
    <t xml:space="preserve">CARGA POR ANALISTA (equipo actual: 4) · ESCENARIOS DE DURACIÓN</t>
  </si>
  <si>
    <t xml:space="preserve">Analista</t>
  </si>
  <si>
    <t xml:space="preserve">Inicio</t>
  </si>
  <si>
    <t xml:space="preserve">Fin estimado</t>
  </si>
  <si>
    <t xml:space="preserve">Escenario</t>
  </si>
  <si>
    <t xml:space="preserve">Fin del proyecto</t>
  </si>
  <si>
    <t xml:space="preserve">Sergio Anaya</t>
  </si>
  <si>
    <t xml:space="preserve">1 analista</t>
  </si>
  <si>
    <t xml:space="preserve">Yoarlys Carrillo</t>
  </si>
  <si>
    <t xml:space="preserve">2 analistas</t>
  </si>
  <si>
    <t xml:space="preserve">Leidy Iral</t>
  </si>
  <si>
    <t xml:space="preserve">3 analistas</t>
  </si>
  <si>
    <t xml:space="preserve">Yulieth Guarin</t>
  </si>
  <si>
    <t xml:space="preserve">4 analistas  ◄ actual</t>
  </si>
  <si>
    <t xml:space="preserve">DISTRIBUCIÓN DE MÓDULOS</t>
  </si>
  <si>
    <t xml:space="preserve">Por Estado</t>
  </si>
  <si>
    <t xml:space="preserve">Cant.</t>
  </si>
  <si>
    <t xml:space="preserve">Por Prioridad</t>
  </si>
  <si>
    <t xml:space="preserve">Por Tipo</t>
  </si>
  <si>
    <t xml:space="preserve">Completado</t>
  </si>
  <si>
    <t xml:space="preserve">Alta</t>
  </si>
  <si>
    <t xml:space="preserve">Existente</t>
  </si>
  <si>
    <t xml:space="preserve">En progreso</t>
  </si>
  <si>
    <t xml:space="preserve">Media</t>
  </si>
  <si>
    <t xml:space="preserve">Nuevo</t>
  </si>
  <si>
    <t xml:space="preserve">No iniciado</t>
  </si>
  <si>
    <t xml:space="preserve">Baja</t>
  </si>
  <si>
    <t xml:space="preserve">Optimización</t>
  </si>
  <si>
    <t xml:space="preserve">Pendiente</t>
  </si>
  <si>
    <t xml:space="preserve">Bloqueado</t>
  </si>
  <si>
    <t xml:space="preserve">HITOS PRINCIPALES</t>
  </si>
  <si>
    <t xml:space="preserve">Hito</t>
  </si>
  <si>
    <t xml:space="preserve">Arranque del proyecto</t>
  </si>
  <si>
    <t xml:space="preserve">Framework Serenity REST operativo (Setup Base)</t>
  </si>
  <si>
    <t xml:space="preserve">Fin de cobertura Front (UI)</t>
  </si>
  <si>
    <t xml:space="preserve">Fin de cobertura APIs</t>
  </si>
  <si>
    <t xml:space="preserve">METODOLOGÍA, HABILITADORES Y SUPUESTOS</t>
  </si>
  <si>
    <t xml:space="preserve">•  Arquitectura Screenplay (Tasks/Interactions/Questions): Serenity BDD + Selenium para UI, Serenity REST + RestAssured para servicios; BDD con Cucumber (Gherkin).</t>
  </si>
  <si>
    <t xml:space="preserve">•  Cada módulo entrega .feature + step definitions + Tasks/Interactions reutilizables + reporte Serenity, cubriendo camino feliz y casos negativos clave (ver DoD en Leyenda).</t>
  </si>
  <si>
    <t xml:space="preserve">•  El plan es escalable de 1 a 4 analistas Semi Senior (6h/día). Escenario actual del cronograma: 4 analista(s). La tabla de escenarios muestra la fecha fin con 1, 2, 3 y 4 personas; con 1 persona el trabajo es secuencial.</t>
  </si>
  <si>
    <t xml:space="preserve">•  Fechas calculadas por un planificador que respeta las dependencias reales y la disponibilidad de cada analista; la asignación sugerida se puede editar en la columna "Analista".</t>
  </si>
  <si>
    <t xml:space="preserve">•  Habilitadores transversales incluidos como trabajo real: datos de prueba (UI y seed vía API), estabilización/regresión e integración CI/CD con reportes Serenity.</t>
  </si>
  <si>
    <t xml:space="preserve">•  La automatización de APIs parte de cero. "Setup Base" y "Login (Auth)" son la fundación (Sergio) y bloquean al resto; los bots dependen de Casos + Estados + conexión Genixxys.</t>
  </si>
  <si>
    <t xml:space="preserve">•  El seed de datos vía API acelera y estabiliza también las pruebas de Front (crea el caso y mueve estados sin depender de la UI).</t>
  </si>
  <si>
    <t xml:space="preserve">•  Las horas ya incluyen +25% de holgura y hay 1 día hábil de colchón entre módulos. La contingencia del 15% es una reserva adicional a nivel de proyecto.</t>
  </si>
  <si>
    <t xml:space="preserve">•  Fechas en días hábiles (excluye fines de semana). No contempla festivos ni vacaciones — ajustar al calendario laboral real.</t>
  </si>
  <si>
    <t xml:space="preserve">CRONOGRAMA — AUTOMATIZACIÓN SARA3 (vista semanal · equipo en paralelo)</t>
  </si>
  <si>
    <t xml:space="preserve">Barras:  ■ Completado (verde)   ■ En progreso (azul)   ■ Front pendiente (azul claro)   ■ APIs pendiente (turquesa)   ·   Cada columna = 1 semana (lunes)</t>
  </si>
  <si>
    <t xml:space="preserve">Módulo / Submódulo</t>
  </si>
  <si>
    <t xml:space="preserve">ago 26</t>
  </si>
  <si>
    <t xml:space="preserve">sep 26</t>
  </si>
  <si>
    <t xml:space="preserve">oct 26</t>
  </si>
  <si>
    <t xml:space="preserve">03</t>
  </si>
  <si>
    <t xml:space="preserve">10</t>
  </si>
  <si>
    <t xml:space="preserve">17</t>
  </si>
  <si>
    <t xml:space="preserve">24</t>
  </si>
  <si>
    <t xml:space="preserve">31</t>
  </si>
  <si>
    <t xml:space="preserve">07</t>
  </si>
  <si>
    <t xml:space="preserve">14</t>
  </si>
  <si>
    <t xml:space="preserve">21</t>
  </si>
  <si>
    <t xml:space="preserve">28</t>
  </si>
  <si>
    <t xml:space="preserve">05</t>
  </si>
  <si>
    <t xml:space="preserve">FRONT (UI) — Screenplay · Serenity BDD · Selenium</t>
  </si>
  <si>
    <t xml:space="preserve">Login / Logout</t>
  </si>
  <si>
    <t xml:space="preserve">Gestión de Casos</t>
  </si>
  <si>
    <t xml:space="preserve">Gestión de Reclamaciones</t>
  </si>
  <si>
    <t xml:space="preserve">Transición y Validación de Estados de Caso</t>
  </si>
  <si>
    <t xml:space="preserve">Proveedor — Novedad</t>
  </si>
  <si>
    <t xml:space="preserve">Proveedor — Diligenciamiento</t>
  </si>
  <si>
    <t xml:space="preserve">Proveedor — Gestión de Conceptos</t>
  </si>
  <si>
    <t xml:space="preserve">Novedad CNM</t>
  </si>
  <si>
    <t xml:space="preserve">Finalización CNM</t>
  </si>
  <si>
    <t xml:space="preserve">Documentación CNM</t>
  </si>
  <si>
    <t xml:space="preserve">Escalamiento Sura</t>
  </si>
  <si>
    <t xml:space="preserve">Reprogramación de citas</t>
  </si>
  <si>
    <t xml:space="preserve">Tareas de monitoreo</t>
  </si>
  <si>
    <t xml:space="preserve">Cierre de expediente</t>
  </si>
  <si>
    <t xml:space="preserve">Flujo de Reasignación de Casos</t>
  </si>
  <si>
    <t xml:space="preserve">Búsqueda avanzada de casos</t>
  </si>
  <si>
    <t xml:space="preserve">Triaje</t>
  </si>
  <si>
    <t xml:space="preserve">Flujo Normal — Revisión de Haber</t>
  </si>
  <si>
    <t xml:space="preserve">Gestión de Reportes — Crear/Descargar Reporte</t>
  </si>
  <si>
    <t xml:space="preserve">Optimización — Batch de Pruebas de Carga</t>
  </si>
  <si>
    <t xml:space="preserve">Habilitador — Datos de prueba (Front)</t>
  </si>
  <si>
    <t xml:space="preserve">Habilitador — Estabilización y regresión (Front)</t>
  </si>
  <si>
    <t xml:space="preserve">APIs — Screenplay · Serenity REST</t>
  </si>
  <si>
    <t xml:space="preserve">Setup Base — Serenity REST</t>
  </si>
  <si>
    <t xml:space="preserve">Login / Logout (Auth)</t>
  </si>
  <si>
    <t xml:space="preserve">Habilitador — Integración CI/CD + reportes Serenity</t>
  </si>
  <si>
    <t xml:space="preserve">Habilitador — Estabilización y regresión (APIs)</t>
  </si>
  <si>
    <t xml:space="preserve">Habilitador — Datos de prueba vía API (seed reutilizable)</t>
  </si>
  <si>
    <t xml:space="preserve">Verificar conexión usuario Genixxys Cloud 4 (RESTflow)</t>
  </si>
  <si>
    <t xml:space="preserve">Bot de monitoreo</t>
  </si>
  <si>
    <t xml:space="preserve">Bot de ofertamiento</t>
  </si>
  <si>
    <t xml:space="preserve">Bot de finalización</t>
  </si>
  <si>
    <t xml:space="preserve">Bot de integración proveedor</t>
  </si>
  <si>
    <t xml:space="preserve">Registro de bitácora de integración</t>
  </si>
  <si>
    <t xml:space="preserve">Mensajes proactivos</t>
  </si>
  <si>
    <t xml:space="preserve">Notificaciones push</t>
  </si>
  <si>
    <t xml:space="preserve">Optimización — Pruebas de Carga vía API</t>
  </si>
  <si>
    <t xml:space="preserve">PLAN DE TRABAJO — AUTOMATIZACIÓN SARA3 · FRONT (Screenplay · Serenity BDD · Cucumber · Selenium)</t>
  </si>
  <si>
    <t xml:space="preserve">Responsable: Sergio Anaya   |   Solicitado por: Angela Maria Perez Zapata   |   Estimación Semi Senior · 6h/día · +25% holgura · equipo en paralelo</t>
  </si>
  <si>
    <t xml:space="preserve">Tipo</t>
  </si>
  <si>
    <t xml:space="preserve">Estado actual</t>
  </si>
  <si>
    <t xml:space="preserve">Tarea pendiente / Alcance a validar</t>
  </si>
  <si>
    <t xml:space="preserve">Prioridad</t>
  </si>
  <si>
    <t xml:space="preserve">Dependencias</t>
  </si>
  <si>
    <t xml:space="preserve">Observaciones</t>
  </si>
  <si>
    <t xml:space="preserve">Mantenimiento y monitoreo</t>
  </si>
  <si>
    <t xml:space="preserve">—</t>
  </si>
  <si>
    <t xml:space="preserve">Cognito + credenciales, sin pendientes</t>
  </si>
  <si>
    <t xml:space="preserve">OpenCasesPage, BuscarExpediente, ClickCasoExpress</t>
  </si>
  <si>
    <t xml:space="preserve">CrearCasoReclamaciones, GestionarReclamacion</t>
  </si>
  <si>
    <t xml:space="preserve">TransicionarEstadosCaso, ValidarEstadoCaso</t>
  </si>
  <si>
    <t xml:space="preserve">CrearNovedadProveedor</t>
  </si>
  <si>
    <t xml:space="preserve">DiligenciarProveedorGestion</t>
  </si>
  <si>
    <t xml:space="preserve">Ejecutar prueba de carga pendiente</t>
  </si>
  <si>
    <t xml:space="preserve">GestionConceptosProveedor — único submódulo sin cobertura en pruebas de carga</t>
  </si>
  <si>
    <t xml:space="preserve">CrearRegistroEnTab genérico</t>
  </si>
  <si>
    <t xml:space="preserve">Análisis + diseño Screenplay (Tasks/Interactions) + steps Cucumber</t>
  </si>
  <si>
    <t xml:space="preserve">CrearRegistroEnTab genérico, Cerrar y cancelar tareas</t>
  </si>
  <si>
    <t xml:space="preserve">Transición de Estados</t>
  </si>
  <si>
    <t xml:space="preserve">CrearRegistroEnTab genérico, Documentar conceptos — parcialmente avanzado</t>
  </si>
  <si>
    <t xml:space="preserve">Buscar caso existente y reasignarlo a un grupo o usuario</t>
  </si>
  <si>
    <t xml:space="preserve">Análisis + diseño Screenplay (Tasks/Interactions) + steps Cucumber: búsqueda por múltiples filtros/criterios, combinación de condiciones, validación de resultados y paginación, búsqueda sin resultados</t>
  </si>
  <si>
    <t xml:space="preserve">Nuevo módulo de búsqueda avanzada sobre el listado de casos</t>
  </si>
  <si>
    <t xml:space="preserve">Análisis + diseño Screenplay (Tasks/Interactions) + steps Cucumber — módulo grande, varias reglas de priorización y rutas de clasificación</t>
  </si>
  <si>
    <t xml:space="preserve">Revisar con negocio todas las variantes de clasificación antes de estimar en detalle</t>
  </si>
  <si>
    <t xml:space="preserve">Confirmar alcance exacto del flujo con negocio</t>
  </si>
  <si>
    <t xml:space="preserve">Análisis + diseño Screenplay (Tasks/Interactions) + steps Cucumber: seleccionar un reporte del listado, filtrar por campo (ej. Fecha de creación), seleccionar período (validar límite de 32 días), añadir/quitar condiciones, guardar y descargar el archivo, validar contenido/formato del archivo descargado</t>
  </si>
  <si>
    <t xml:space="preserve">Flujo único genérico parametrizable por el reporte elegido (Alertas Uck es solo una opción)</t>
  </si>
  <si>
    <t xml:space="preserve">Extender pruebas de carga al submódulo Proveedor</t>
  </si>
  <si>
    <t xml:space="preserve">Todos los demás submódulos ya validados en carga</t>
  </si>
  <si>
    <t xml:space="preserve">Definir y construir el set de datos de prueba para UI (usuarios, casos base, estados) y parametrizarlos desde Cucumber. Aprovechar el seed vía API cuando esté disponible.</t>
  </si>
  <si>
    <t xml:space="preserve">Transversal: habilita la ejecución estable del resto de módulos Front</t>
  </si>
  <si>
    <t xml:space="preserve">Estabilizar la suite UI (flakiness, esperas), consolidar la regresión y dejar el conjunto ejecutable de forma recurrente.</t>
  </si>
  <si>
    <t xml:space="preserve">Módulos Front nuevos</t>
  </si>
  <si>
    <t xml:space="preserve">Transversal: mantenimiento de regresión a medida que Sara3 cambia</t>
  </si>
  <si>
    <t xml:space="preserve">TOTAL HORAS</t>
  </si>
  <si>
    <t xml:space="preserve">PLAN DE TRABAJO — AUTOMATIZACIÓN SARA3 · APIs (Screenplay · Serenity REST · Cucumber)</t>
  </si>
  <si>
    <t xml:space="preserve">Responsable: Sergio Anaya   |   Solicitado por: Angela Maria Perez Zapata   |   Todo desde cero · foundation bloquea al resto</t>
  </si>
  <si>
    <t xml:space="preserve">Configurar RestAssured + Serenity REST (Calls, Questions REST), gestión de ambientes/URLs, manejo de esquemas JSON (JSON Schema validation) y utilitario de autenticación reutilizable</t>
  </si>
  <si>
    <t xml:space="preserve">Prerrequisito técnico: bloquea a todos los demás módulos</t>
  </si>
  <si>
    <t xml:space="preserve">Validar: login exitoso devuelve token válido (200 + estructura del token); credenciales inválidas (401/403); expiración/renovación de token; logout invalida la sesión/token</t>
  </si>
  <si>
    <t xml:space="preserve">Base para autenticar todos los demás endpoints</t>
  </si>
  <si>
    <t xml:space="preserve">Configurar ejecución automática de la suite (Jenkins/GitHub Actions), agendamiento, publicación de reportes Serenity y notificación de resultados. Aplica a Front y APIs.</t>
  </si>
  <si>
    <t xml:space="preserve">Transversal: sin CI/CD la automatización no rinde en el día a día</t>
  </si>
  <si>
    <t xml:space="preserve">Validar: consulta de caso por ID (200/404), búsqueda de expediente, listado/filtrado de casos, expediente inexistente o mal formado (400/404)</t>
  </si>
  <si>
    <t xml:space="preserve">Setup Base + Login (Auth)</t>
  </si>
  <si>
    <t xml:space="preserve">Endpoint(s) de consulta/búsqueda de casos y expedientes</t>
  </si>
  <si>
    <t xml:space="preserve">Validar: creación de reclamación (201 + payload), gestión/actualización (200), campos obligatorios faltantes (400), duplicidad, reglas de negocio propias del tipo de reclamación</t>
  </si>
  <si>
    <t xml:space="preserve">Setup Base + Login (Auth) + Gestión de Casos</t>
  </si>
  <si>
    <t xml:space="preserve">Módulo más amplio que Gestión de Casos: creación, actualización y reglas de negocio propias</t>
  </si>
  <si>
    <t xml:space="preserve">Validar: transición válida (200 + nuevo estado), transición no permitida (400/409), consulta de estado actual, historial de transiciones</t>
  </si>
  <si>
    <t xml:space="preserve">Cubre reglas de negocio que hoy solo se validan por UI</t>
  </si>
  <si>
    <t xml:space="preserve">Validar: creación de novedad (201), consulta de novedad creada, campos obligatorios (400), asociación correcta al caso/expediente</t>
  </si>
  <si>
    <t xml:space="preserve">Validar: diligenciamiento (200/201), reglas de negocio (estado previo requerido), datos incompletos o inconsistentes (400)</t>
  </si>
  <si>
    <t xml:space="preserve">Setup Base + Login (Auth) + Proveedor — Novedad</t>
  </si>
  <si>
    <t xml:space="preserve">Validar: creación/gestión de conceptos (201), listado por proveedor, montos y cálculos del payload, casos negativos (duplicado, valores fuera de rango)</t>
  </si>
  <si>
    <t xml:space="preserve">Setup Base + Login (Auth) + Proveedor — Diligenciamiento</t>
  </si>
  <si>
    <t xml:space="preserve">Priorizar: además cubrirá pruebas de carga</t>
  </si>
  <si>
    <t xml:space="preserve">Validar: creación de registro de novedad CNM (201), campos obligatorios, asociación al expediente, datos inválidos (400)</t>
  </si>
  <si>
    <t xml:space="preserve">Endpoint genérico equivalente a CrearRegistroEnTab</t>
  </si>
  <si>
    <t xml:space="preserve">Validar: creación de registro de finalización (201), reglas de cierre (estado previo), intento de finalizar un caso ya finalizado (409/400)</t>
  </si>
  <si>
    <t xml:space="preserve">Setup Base + Login (Auth) + Novedad CNM</t>
  </si>
  <si>
    <t xml:space="preserve">Validar: carga/registro de documentación (201), formatos y tamaños de adjunto soportados, documento obligatorio no enviado (400)</t>
  </si>
  <si>
    <t xml:space="preserve">Validar: creación de escalamiento (201), reglas (motivo obligatorio, caso válido), consulta de escalamientos por caso, datos inválidos (400)</t>
  </si>
  <si>
    <t xml:space="preserve">Requiere confirmar endpoint(s) y contrato con backend</t>
  </si>
  <si>
    <t xml:space="preserve">Validar: reprogramación exitosa (200/201 + nueva fecha), cita inexistente (404), fecha inválida o en el pasado (400), conflicto de horario</t>
  </si>
  <si>
    <t xml:space="preserve">Validar: consulta/listado de tareas, cierre (200), cancelación (200), cerrar/cancelar una tarea ya cerrada (409/400)</t>
  </si>
  <si>
    <t xml:space="preserve">Incluye cierre y cancelación de tareas vía API</t>
  </si>
  <si>
    <t xml:space="preserve">Validar: cierre de expediente (200/201), documentación de conceptos asociada, requisitos previos al cierre, expediente incompleto (400/409)</t>
  </si>
  <si>
    <t xml:space="preserve">Setup Base + Login (Auth) + Transición de Estados</t>
  </si>
  <si>
    <t xml:space="preserve">Incluye documentación de conceptos vía API</t>
  </si>
  <si>
    <t xml:space="preserve">Validar: búsqueda de caso existente, reasignación a grupo (200), reasignación a usuario (200), caso inexistente (404), grupo/usuario inválido (400)</t>
  </si>
  <si>
    <t xml:space="preserve">Validar: consulta de haber/saldo (200 + estructura), expediente sin haber registrado, consistencia de valores vs. reglas de negocio</t>
  </si>
  <si>
    <t xml:space="preserve">Validar: listado de reportes disponibles (200), generación según selección (200/201), filtro por campo, rango dentro del límite (200) y fuera del límite de 32 días (400), con/sin condiciones adicionales, descarga (200 + content-type correcto)</t>
  </si>
  <si>
    <t xml:space="preserve">Endpoint(s) genérico(s) parametrizables por el reporte elegido (Alertas Uck es solo una opción)</t>
  </si>
  <si>
    <t xml:space="preserve">Estabilizar la suite de APIs, consolidar la regresión de servicios y dejarla ejecutable de forma recurrente.</t>
  </si>
  <si>
    <t xml:space="preserve">Módulos API de negocio</t>
  </si>
  <si>
    <t xml:space="preserve">Transversal: mantenimiento de regresión de servicios</t>
  </si>
  <si>
    <t xml:space="preserve">Construir utilitarios de seed de datos vía API (crear caso, mover estados) reutilizables por las pruebas de Front y de APIs. Acelera y estabiliza ambos frentes.</t>
  </si>
  <si>
    <t xml:space="preserve">Transversal: reduce dependencia de la UI para preparar datos</t>
  </si>
  <si>
    <t xml:space="preserve">Validar: verificación de conexión/sesión en Genixxys Cloud 4 vía RESTflow (200 + estado de conexión), usuario no conectado o token inválido (401/403), timeout de conexión</t>
  </si>
  <si>
    <t xml:space="preserve">Setup Base + Login (Auth) + Gestión de Casos + Transición de Estados</t>
  </si>
  <si>
    <t xml:space="preserve">Prerrequisito de integración para los bots — confirmar contrato RESTflow con backend</t>
  </si>
  <si>
    <t xml:space="preserve">Validar: disparo/ejecución del bot (200), lectura del estado del caso monitoreado, reglas del monitoreo, caso inexistente o sin estado válido (400/404)</t>
  </si>
  <si>
    <t xml:space="preserve">Gestión de Casos + Transición de Estados + Verificar conexión Genixxys</t>
  </si>
  <si>
    <t xml:space="preserve">Depende de creación de caso y cambios de estado</t>
  </si>
  <si>
    <t xml:space="preserve">Validar: generación de oferta por el bot (200/201), reglas de ofertamiento según estado del caso, oferta duplicada o caso en estado no elegible (409/400)</t>
  </si>
  <si>
    <t xml:space="preserve">Validar: finalización automática del caso por el bot (200), estado previo requerido, caso no elegible o ya finalizado (409/400)</t>
  </si>
  <si>
    <t xml:space="preserve">Validar: integración con proveedor vía bot (200/201), envío/recepción de datos, reintentos y manejo de error (5xx/timeout), consistencia de datos integrados</t>
  </si>
  <si>
    <t xml:space="preserve">Validar: escritura del registro tras cada integración (200/201), consulta de la bitácora por caso, contenido/estructura del log, registro ante integración fallida</t>
  </si>
  <si>
    <t xml:space="preserve">Trazabilidad de las integraciones de los bots</t>
  </si>
  <si>
    <t xml:space="preserve">Validar: generación/envío de mensaje proactivo (200/201), reglas de disparo según estado del caso, contenido del mensaje, no envío cuando no aplica</t>
  </si>
  <si>
    <t xml:space="preserve">Validar: envío de notificación push (200/201), payload/estructura, entrega ante destinatario válido/inválido (400), no envío cuando no aplica</t>
  </si>
  <si>
    <t xml:space="preserve">Validar: clasificación/priorización (200/201), múltiples reglas y rutas, reasignación automática según prioridad, caso ya triado o datos incompletos (400/409) — módulo grande, mapear todas las variantes</t>
  </si>
  <si>
    <t xml:space="preserve">Pendiente confirmar contrato — mismo vacío de definición que en Front</t>
  </si>
  <si>
    <t xml:space="preserve">Diseñar y ejecutar pruebas de carga a nivel de API (más livianas y estables que por UI) priorizando Gestión de Conceptos de Proveedor y Reclamaciones</t>
  </si>
  <si>
    <t xml:space="preserve">Setup Base + Login (Auth) + módulos de mayor volumen</t>
  </si>
  <si>
    <t xml:space="preserve">Complementa/reemplaza la carga por UI para los módulos de mayor volumen</t>
  </si>
  <si>
    <t xml:space="preserve">RIESGOS Y SUPUESTOS</t>
  </si>
  <si>
    <t xml:space="preserve">ID</t>
  </si>
  <si>
    <t xml:space="preserve">Riesgo / Supuesto</t>
  </si>
  <si>
    <t xml:space="preserve">Impacto</t>
  </si>
  <si>
    <t xml:space="preserve">Probabilidad</t>
  </si>
  <si>
    <t xml:space="preserve">Mitigación / Acción</t>
  </si>
  <si>
    <t xml:space="preserve">Responsable</t>
  </si>
  <si>
    <t xml:space="preserve">R1</t>
  </si>
  <si>
    <t xml:space="preserve">Contratos de API de módulos nuevos aún no confirmados con backend (Escalamiento, Reprogramación, Triaje, Reasignación, Reportes).</t>
  </si>
  <si>
    <t xml:space="preserve">Alto</t>
  </si>
  <si>
    <t xml:space="preserve">Solicitar Swagger/documentación al backend antes de iniciar cada módulo. Bloquear estimación fina hasta tener el contrato.</t>
  </si>
  <si>
    <t xml:space="preserve">Sergio / Backend</t>
  </si>
  <si>
    <t xml:space="preserve">R2</t>
  </si>
  <si>
    <t xml:space="preserve">Contrato RESTflow de Genixxys Cloud 4 y de los bots (monitoreo, ofertamiento, finalización, integración) sin definir.</t>
  </si>
  <si>
    <t xml:space="preserve">Confirmar endpoints, autenticación y payloads de la integración antes de automatizar los bots. Es prerrequisito duro.</t>
  </si>
  <si>
    <t xml:space="preserve">R3</t>
  </si>
  <si>
    <t xml:space="preserve">Triaje (Front y API) es un módulo grande con múltiples reglas de clasificación no del todo definidas.</t>
  </si>
  <si>
    <t xml:space="preserve">Refinamiento con negocio para mapear todas las variantes antes de automatizar. Buffer de horas ya reservado.</t>
  </si>
  <si>
    <t xml:space="preserve">Sergio / Negocio</t>
  </si>
  <si>
    <t xml:space="preserve">R4</t>
  </si>
  <si>
    <t xml:space="preserve">Ausencias del equipo (vacaciones/incapacidad) desplazan la ruta crítica, especialmente la fundación de APIs (Sergio).</t>
  </si>
  <si>
    <t xml:space="preserve">Redundancia de conocimiento: pair en Setup Base; documentar estándares para que cualquiera continúe.</t>
  </si>
  <si>
    <t xml:space="preserve">Angela</t>
  </si>
  <si>
    <t xml:space="preserve">R5</t>
  </si>
  <si>
    <t xml:space="preserve">Ambiente de pruebas y datos de prueba no estables/disponibles.</t>
  </si>
  <si>
    <t xml:space="preserve">Ambiente dedicado + habilitador de datos de prueba (UI y seed vía API) incluido en el plan.</t>
  </si>
  <si>
    <t xml:space="preserve">Sergio / Infra</t>
  </si>
  <si>
    <t xml:space="preserve">R6</t>
  </si>
  <si>
    <t xml:space="preserve">Fechas no contemplan festivos ni vacaciones del calendario colombiano.</t>
  </si>
  <si>
    <t xml:space="preserve">Medio</t>
  </si>
  <si>
    <t xml:space="preserve">Ajustar el cronograma al calendario laboral real y a los descansos de cada analista.</t>
  </si>
  <si>
    <t xml:space="preserve">Sergio</t>
  </si>
  <si>
    <t xml:space="preserve">R7</t>
  </si>
  <si>
    <t xml:space="preserve">Inestabilidad (flakiness) en pruebas de UI por tiempos de carga/ambientes.</t>
  </si>
  <si>
    <t xml:space="preserve">Esperas explícitas + Screenplay; priorizar cobertura por API donde aplique; habilitador de estabilización reservado.</t>
  </si>
  <si>
    <t xml:space="preserve">R8</t>
  </si>
  <si>
    <t xml:space="preserve">Curva de aprendizaje de los 3 analistas nuevos en la arquitectura Screenplay.</t>
  </si>
  <si>
    <t xml:space="preserve">Estándares de código, revisión de PR y pairing inicial con Sergio; los primeros módulos sirven de onboarding.</t>
  </si>
  <si>
    <t xml:space="preserve">S1</t>
  </si>
  <si>
    <t xml:space="preserve">SUPUESTO: el equipo puede ser de 1 a 4 analistas Semi Senior (6h/día). El cronograma mostrado usa el escenario actual; ver tabla de escenarios en el Resumen.</t>
  </si>
  <si>
    <t xml:space="preserve">Definir con Angela cuántas personas se asignan; el planificador recalcula fin del proyecto según ese número.</t>
  </si>
  <si>
    <t xml:space="preserve">S2</t>
  </si>
  <si>
    <t xml:space="preserve">SUPUESTO: la fundación de APIs (Setup + Login) la ejecuta Sergio y habilita al resto del equipo.</t>
  </si>
  <si>
    <t xml:space="preserve">Priorizar esa entrega para no bloquear a Leidy y Yulieth.</t>
  </si>
  <si>
    <t xml:space="preserve">GUÍA DE USO Y DEFINICIÓN DE TERMINADO (DoD)</t>
  </si>
  <si>
    <t xml:space="preserve">Campo / Concepto</t>
  </si>
  <si>
    <t xml:space="preserve">Descripción</t>
  </si>
  <si>
    <t xml:space="preserve">Unidad de trabajo independiente. Cada fila se desarrolla y entrega por separado.</t>
  </si>
  <si>
    <t xml:space="preserve">Existente = ya automatizado · Nuevo = desde cero · Optimización = mejora sobre lo existente.</t>
  </si>
  <si>
    <t xml:space="preserve">Lista desplegable: No iniciado / En progreso / Completado / Pendiente / Bloqueado.</t>
  </si>
  <si>
    <t xml:space="preserve">Tarea pendiente / Alcance</t>
  </si>
  <si>
    <t xml:space="preserve">Qué se construye o valida; en APIs incluye códigos de respuesta y casos negativos.</t>
  </si>
  <si>
    <t xml:space="preserve">Lista desplegable: Alta / Media / Baja.</t>
  </si>
  <si>
    <t xml:space="preserve">Módulos que deben estar listos antes; guían el orden y el cálculo de fechas en paralelo.</t>
  </si>
  <si>
    <t xml:space="preserve">Responsable del módulo (lista desplegable con los 4 analistas). Alimenta la carga por analista.</t>
  </si>
  <si>
    <t xml:space="preserve">Fecha inicio / Fecha fin</t>
  </si>
  <si>
    <t xml:space="preserve">Calculadas por el planificador respetando dependencias y disponibilidad de cada analista.</t>
  </si>
  <si>
    <t xml:space="preserve">Horas estimadas</t>
  </si>
  <si>
    <t xml:space="preserve">Analista Semi Senior a 6h/día. Ya incluye +25% de holgura; además 1 día hábil de colchón entre módulos.</t>
  </si>
  <si>
    <t xml:space="preserve">Horas reales / % Avance</t>
  </si>
  <si>
    <t xml:space="preserve">Registrar al ejecutar; alimentan el avance ponderado del Resumen Ejecutivo.</t>
  </si>
  <si>
    <t xml:space="preserve">Habilitadores transversales</t>
  </si>
  <si>
    <t xml:space="preserve">Datos de prueba, estabilización/regresión y CI/CD: trabajo real que sostiene toda la automatización.</t>
  </si>
  <si>
    <t xml:space="preserve">Color de Estado</t>
  </si>
  <si>
    <t xml:space="preserve">Verde = Completado · Azul = En progreso · Amarillo = Pendiente · Naranja = No iniciado.</t>
  </si>
  <si>
    <t xml:space="preserve">Hojas del libro</t>
  </si>
  <si>
    <t xml:space="preserve">Resumen Ejecutivo · Cronograma (Gantt) · Plan Front · Plan APIs · Riesgos y Supuestos · Leyenda.</t>
  </si>
  <si>
    <t xml:space="preserve">— DEFINICIÓN DE TERMINADO (DoD) —</t>
  </si>
  <si>
    <t xml:space="preserve">Un módulo está Completado cuando: (1) tiene .feature en Gherkin, (2) steps + Tasks/Interactions reutilizables, (3) ejecuta verde de forma estable, (4) genera reporte Serenity, (5) cubre camino feliz + casos negativos clave, (6) revisado (PR) y mergeado, (7) integrado a la ejecución CI/CD.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</si>
</sst>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/mm/yyyy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5B2C6F"/>
        <bgColor rgb="FF1F3864"/>
      </patternFill>
    </fill>
    <fill>
      <patternFill patternType="solid">
        <fgColor rgb="FF1F3864"/>
        <bgColor rgb="FF1F4E5A"/>
      </patternFill>
    </fill>
    <fill>
      <patternFill patternType="solid">
        <fgColor rgb="FF808080"/>
        <bgColor rgb="FF7F7F7F"/>
      </patternFill>
    </fill>
    <fill>
      <patternFill patternType="solid">
        <fgColor rgb="FFD9E2F3"/>
        <bgColor rgb="FFD9EDF0"/>
      </patternFill>
    </fill>
    <fill>
      <patternFill patternType="solid">
        <fgColor rgb="FFD9EDF0"/>
        <bgColor rgb="FFD9E2F3"/>
      </patternFill>
    </fill>
    <fill>
      <patternFill patternType="solid">
        <fgColor rgb="FFE8DAEF"/>
        <bgColor rgb="FFD9E2F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E8E8"/>
      </patternFill>
    </fill>
    <fill>
      <patternFill patternType="solid">
        <fgColor rgb="FFC6E0B4"/>
        <bgColor rgb="FFD9D9D9"/>
      </patternFill>
    </fill>
    <fill>
      <patternFill patternType="solid">
        <fgColor rgb="FF1F4E5A"/>
        <bgColor rgb="FF1F386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E8DAE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D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CE4D6"/>
      <rgbColor rgb="FFC6E0B4"/>
      <rgbColor rgb="FFD9E2F3"/>
      <rgbColor rgb="FFE8DAE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5B2C6F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8" min="6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f aca="false">COUNTA('Plan de Trabajo - Front'!A5:A26)</f>
        <v>22</v>
      </c>
      <c r="C6" s="6" t="n">
        <f aca="false">SUM('Plan de Trabajo - Front'!J5:J26)</f>
        <v>296</v>
      </c>
      <c r="D6" s="6" t="n">
        <f aca="false">SUM('Plan de Trabajo - Front'!K5:K26)</f>
        <v>0</v>
      </c>
      <c r="E6" s="7" t="n">
        <f aca="false">IFERROR(SUMPRODUCT('Plan de Trabajo - Front'!J5:J26,'Plan de Trabajo - Front'!L5:L26)/SUM('Plan de Trabajo - Front'!J5:J26),0)</f>
        <v>0.203378378378378</v>
      </c>
      <c r="F6" s="8" t="n">
        <f aca="false">MIN('Plan de Trabajo - Front'!H5:H26)</f>
        <v>46237.2083333333</v>
      </c>
      <c r="G6" s="8" t="n">
        <f aca="false">MAX('Plan de Trabajo - Front'!I5:I26)</f>
        <v>46296.2083333333</v>
      </c>
    </row>
    <row r="7" customFormat="false" ht="15" hidden="false" customHeight="false" outlineLevel="0" collapsed="false">
      <c r="A7" s="9" t="s">
        <v>11</v>
      </c>
      <c r="B7" s="10" t="n">
        <f aca="false">COUNTA('Plan de Trabajo - APIs'!A5:A35)</f>
        <v>31</v>
      </c>
      <c r="C7" s="10" t="n">
        <f aca="false">SUM('Plan de Trabajo - APIs'!J5:J35)</f>
        <v>415</v>
      </c>
      <c r="D7" s="10" t="n">
        <f aca="false">SUM('Plan de Trabajo - APIs'!K5:K35)</f>
        <v>0</v>
      </c>
      <c r="E7" s="11" t="n">
        <f aca="false">IFERROR(SUMPRODUCT('Plan de Trabajo - APIs'!J5:J35,'Plan de Trabajo - APIs'!L5:L35)/SUM('Plan de Trabajo - APIs'!J5:J35),0)</f>
        <v>0</v>
      </c>
      <c r="F7" s="12" t="n">
        <f aca="false">MIN('Plan de Trabajo - APIs'!H5:H35)</f>
        <v>46237.2083333333</v>
      </c>
      <c r="G7" s="12" t="n">
        <f aca="false">MAX('Plan de Trabajo - APIs'!I5:I35)</f>
        <v>46302.2083333333</v>
      </c>
    </row>
    <row r="8" customFormat="false" ht="15" hidden="false" customHeight="false" outlineLevel="0" collapsed="false">
      <c r="A8" s="13" t="s">
        <v>12</v>
      </c>
      <c r="B8" s="14" t="n">
        <f aca="false">B6+B7</f>
        <v>53</v>
      </c>
      <c r="C8" s="14" t="n">
        <f aca="false">C6+C7</f>
        <v>711</v>
      </c>
      <c r="D8" s="14" t="n">
        <f aca="false">D6+D7</f>
        <v>0</v>
      </c>
      <c r="E8" s="15" t="n">
        <f aca="false">IFERROR((C6*E6+C7*E7)/(C6+C7),0)</f>
        <v>0.0846694796061885</v>
      </c>
      <c r="F8" s="16" t="n">
        <f aca="false">MIN(F6:F7)</f>
        <v>46237.2083333333</v>
      </c>
      <c r="G8" s="16" t="n">
        <f aca="false">MAX(G6:G7)</f>
        <v>46302.2083333333</v>
      </c>
    </row>
    <row r="10" customFormat="false" ht="15" hidden="false" customHeight="false" outlineLevel="0" collapsed="false">
      <c r="A10" s="17" t="s">
        <v>13</v>
      </c>
      <c r="C10" s="18" t="n">
        <f aca="false">ROUND(C8*0.15,0)</f>
        <v>107</v>
      </c>
    </row>
    <row r="11" customFormat="false" ht="15" hidden="false" customHeight="false" outlineLevel="0" collapsed="false">
      <c r="A11" s="17" t="s">
        <v>14</v>
      </c>
      <c r="C11" s="18" t="n">
        <f aca="false">C8+C10</f>
        <v>818</v>
      </c>
    </row>
    <row r="12" customFormat="false" ht="15" hidden="false" customHeight="false" outlineLevel="0" collapsed="false">
      <c r="A12" s="17" t="s">
        <v>15</v>
      </c>
      <c r="C12" s="19" t="n">
        <v>46237.2083333333</v>
      </c>
      <c r="D12" s="20" t="s">
        <v>16</v>
      </c>
      <c r="E12" s="19" t="n">
        <v>46302.2083333333</v>
      </c>
    </row>
    <row r="14" customFormat="false" ht="24" hidden="false" customHeight="true" outlineLevel="0" collapsed="false">
      <c r="A14" s="3" t="s">
        <v>17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18</v>
      </c>
      <c r="B15" s="4" t="s">
        <v>4</v>
      </c>
      <c r="C15" s="4" t="s">
        <v>5</v>
      </c>
      <c r="D15" s="4" t="s">
        <v>19</v>
      </c>
      <c r="E15" s="4" t="s">
        <v>20</v>
      </c>
      <c r="G15" s="4" t="s">
        <v>21</v>
      </c>
      <c r="H15" s="4" t="s">
        <v>22</v>
      </c>
    </row>
    <row r="16" customFormat="false" ht="15" hidden="false" customHeight="false" outlineLevel="0" collapsed="false">
      <c r="A16" s="21" t="s">
        <v>23</v>
      </c>
      <c r="B16" s="22" t="n">
        <f aca="false">COUNTIF('Plan de Trabajo - Front'!G5:G26,"Sergio Anaya")+COUNTIF('Plan de Trabajo - APIs'!G5:G35,"Sergio Anaya")</f>
        <v>21</v>
      </c>
      <c r="C16" s="22" t="n">
        <f aca="false">SUMIF('Plan de Trabajo - Front'!G5:G26,"Sergio Anaya",'Plan de Trabajo - Front'!J5:J26)+SUMIF('Plan de Trabajo - APIs'!G5:G35,"Sergio Anaya",'Plan de Trabajo - APIs'!J5:J35)</f>
        <v>234</v>
      </c>
      <c r="D16" s="23" t="n">
        <v>46237.2083333333</v>
      </c>
      <c r="E16" s="23" t="n">
        <v>46302.2083333333</v>
      </c>
      <c r="G16" s="24" t="s">
        <v>24</v>
      </c>
      <c r="H16" s="23" t="n">
        <v>46482.2083333333</v>
      </c>
    </row>
    <row r="17" customFormat="false" ht="15" hidden="false" customHeight="false" outlineLevel="0" collapsed="false">
      <c r="A17" s="25" t="s">
        <v>25</v>
      </c>
      <c r="B17" s="26" t="n">
        <f aca="false">COUNTIF('Plan de Trabajo - Front'!G5:G26,"Yoarlys Carrillo")+COUNTIF('Plan de Trabajo - APIs'!G5:G35,"Yoarlys Carrillo")</f>
        <v>11</v>
      </c>
      <c r="C17" s="26" t="n">
        <f aca="false">SUMIF('Plan de Trabajo - Front'!G5:G26,"Yoarlys Carrillo",'Plan de Trabajo - Front'!J5:J26)+SUMIF('Plan de Trabajo - APIs'!G5:G35,"Yoarlys Carrillo",'Plan de Trabajo - APIs'!J5:J35)</f>
        <v>141</v>
      </c>
      <c r="D17" s="27" t="n">
        <v>46241.2083333333</v>
      </c>
      <c r="E17" s="27" t="n">
        <v>46297.2083333333</v>
      </c>
      <c r="G17" s="28" t="s">
        <v>26</v>
      </c>
      <c r="H17" s="27" t="n">
        <v>46360.2083333333</v>
      </c>
    </row>
    <row r="18" customFormat="false" ht="15" hidden="false" customHeight="false" outlineLevel="0" collapsed="false">
      <c r="A18" s="21" t="s">
        <v>27</v>
      </c>
      <c r="B18" s="22" t="n">
        <f aca="false">COUNTIF('Plan de Trabajo - Front'!G5:G26,"Leidy Iral")+COUNTIF('Plan de Trabajo - APIs'!G5:G35,"Leidy Iral")</f>
        <v>10</v>
      </c>
      <c r="C18" s="22" t="n">
        <f aca="false">SUMIF('Plan de Trabajo - Front'!G5:G26,"Leidy Iral",'Plan de Trabajo - Front'!J5:J26)+SUMIF('Plan de Trabajo - APIs'!G5:G35,"Leidy Iral",'Plan de Trabajo - APIs'!J5:J35)</f>
        <v>159</v>
      </c>
      <c r="D18" s="23" t="n">
        <v>46241.2083333333</v>
      </c>
      <c r="E18" s="23" t="n">
        <v>46297.2083333333</v>
      </c>
      <c r="G18" s="24" t="s">
        <v>28</v>
      </c>
      <c r="H18" s="23" t="n">
        <v>46323.2083333333</v>
      </c>
    </row>
    <row r="19" customFormat="false" ht="15" hidden="false" customHeight="false" outlineLevel="0" collapsed="false">
      <c r="A19" s="25" t="s">
        <v>29</v>
      </c>
      <c r="B19" s="26" t="n">
        <f aca="false">COUNTIF('Plan de Trabajo - Front'!G5:G26,"Yulieth Guarin")+COUNTIF('Plan de Trabajo - APIs'!G5:G35,"Yulieth Guarin")</f>
        <v>11</v>
      </c>
      <c r="C19" s="26" t="n">
        <f aca="false">SUMIF('Plan de Trabajo - Front'!G5:G26,"Yulieth Guarin",'Plan de Trabajo - Front'!J5:J26)+SUMIF('Plan de Trabajo - APIs'!G5:G35,"Yulieth Guarin",'Plan de Trabajo - APIs'!J5:J35)</f>
        <v>177</v>
      </c>
      <c r="D19" s="27" t="n">
        <v>46239.2083333333</v>
      </c>
      <c r="E19" s="27" t="n">
        <v>46302.2083333333</v>
      </c>
      <c r="G19" s="29" t="s">
        <v>30</v>
      </c>
      <c r="H19" s="16" t="n">
        <v>46302.2083333333</v>
      </c>
    </row>
    <row r="21" customFormat="false" ht="24" hidden="false" customHeight="true" outlineLevel="0" collapsed="false">
      <c r="A21" s="3" t="s">
        <v>31</v>
      </c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4" t="s">
        <v>32</v>
      </c>
      <c r="B22" s="4" t="s">
        <v>33</v>
      </c>
      <c r="D22" s="4" t="s">
        <v>34</v>
      </c>
      <c r="E22" s="4" t="s">
        <v>33</v>
      </c>
      <c r="G22" s="4" t="s">
        <v>35</v>
      </c>
      <c r="H22" s="4" t="s">
        <v>33</v>
      </c>
    </row>
    <row r="23" customFormat="false" ht="15" hidden="false" customHeight="false" outlineLevel="0" collapsed="false">
      <c r="A23" s="30" t="s">
        <v>36</v>
      </c>
      <c r="B23" s="31" t="n">
        <f aca="false">COUNTIF('Plan de Trabajo - Front'!C5:C26,"Completado")+COUNTIF('Plan de Trabajo - APIs'!C5:C35,"Completado")</f>
        <v>10</v>
      </c>
      <c r="D23" s="30" t="s">
        <v>37</v>
      </c>
      <c r="E23" s="31" t="n">
        <f aca="false">COUNTIF('Plan de Trabajo - Front'!E5:E26,"Alta")+COUNTIF('Plan de Trabajo - APIs'!E5:E35,"Alta")</f>
        <v>21</v>
      </c>
      <c r="G23" s="30" t="s">
        <v>38</v>
      </c>
      <c r="H23" s="31" t="n">
        <f aca="false">COUNTIF('Plan de Trabajo - Front'!B5:B26,"Existente")+COUNTIF('Plan de Trabajo - APIs'!B5:B35,"Existente")</f>
        <v>10</v>
      </c>
    </row>
    <row r="24" customFormat="false" ht="15" hidden="false" customHeight="false" outlineLevel="0" collapsed="false">
      <c r="A24" s="30" t="s">
        <v>39</v>
      </c>
      <c r="B24" s="31" t="n">
        <f aca="false">COUNTIF('Plan de Trabajo - Front'!C5:C26,"En progreso")+COUNTIF('Plan de Trabajo - APIs'!C5:C35,"En progreso")</f>
        <v>1</v>
      </c>
      <c r="D24" s="30" t="s">
        <v>40</v>
      </c>
      <c r="E24" s="31" t="n">
        <f aca="false">COUNTIF('Plan de Trabajo - Front'!E5:E26,"Media")+COUNTIF('Plan de Trabajo - APIs'!E5:E35,"Media")</f>
        <v>28</v>
      </c>
      <c r="G24" s="30" t="s">
        <v>41</v>
      </c>
      <c r="H24" s="31" t="n">
        <f aca="false">COUNTIF('Plan de Trabajo - Front'!B5:B26,"Nuevo")+COUNTIF('Plan de Trabajo - APIs'!B5:B35,"Nuevo")</f>
        <v>41</v>
      </c>
    </row>
    <row r="25" customFormat="false" ht="15" hidden="false" customHeight="false" outlineLevel="0" collapsed="false">
      <c r="A25" s="30" t="s">
        <v>42</v>
      </c>
      <c r="B25" s="31" t="n">
        <f aca="false">COUNTIF('Plan de Trabajo - Front'!C5:C26,"No iniciado")+COUNTIF('Plan de Trabajo - APIs'!C5:C35,"No iniciado")</f>
        <v>41</v>
      </c>
      <c r="D25" s="30" t="s">
        <v>43</v>
      </c>
      <c r="E25" s="31" t="n">
        <f aca="false">COUNTIF('Plan de Trabajo - Front'!E5:E26,"Baja")+COUNTIF('Plan de Trabajo - APIs'!E5:E35,"Baja")</f>
        <v>4</v>
      </c>
      <c r="G25" s="30" t="s">
        <v>44</v>
      </c>
      <c r="H25" s="31" t="n">
        <f aca="false">COUNTIF('Plan de Trabajo - Front'!B5:B26,"Optimización")+COUNTIF('Plan de Trabajo - APIs'!B5:B35,"Optimización")</f>
        <v>2</v>
      </c>
    </row>
    <row r="26" customFormat="false" ht="15" hidden="false" customHeight="false" outlineLevel="0" collapsed="false">
      <c r="A26" s="30" t="s">
        <v>45</v>
      </c>
      <c r="B26" s="31" t="n">
        <f aca="false">COUNTIF('Plan de Trabajo - Front'!C5:C26,"Pendiente")+COUNTIF('Plan de Trabajo - APIs'!C5:C35,"Pendiente")</f>
        <v>1</v>
      </c>
    </row>
    <row r="27" customFormat="false" ht="15" hidden="false" customHeight="false" outlineLevel="0" collapsed="false">
      <c r="A27" s="30" t="s">
        <v>46</v>
      </c>
      <c r="B27" s="31" t="n">
        <f aca="false">COUNTIF('Plan de Trabajo - Front'!C5:C26,"Bloqueado")+COUNTIF('Plan de Trabajo - APIs'!C5:C35,"Bloqueado")</f>
        <v>0</v>
      </c>
    </row>
    <row r="29" customFormat="false" ht="24" hidden="false" customHeight="true" outlineLevel="0" collapsed="false">
      <c r="A29" s="3" t="s">
        <v>47</v>
      </c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4" t="s">
        <v>48</v>
      </c>
      <c r="B30" s="4"/>
      <c r="C30" s="4"/>
      <c r="D30" s="4"/>
      <c r="E30" s="32"/>
      <c r="F30" s="32"/>
    </row>
    <row r="31" customFormat="false" ht="19.5" hidden="false" customHeight="true" outlineLevel="0" collapsed="false">
      <c r="A31" s="33" t="s">
        <v>49</v>
      </c>
      <c r="B31" s="33"/>
      <c r="C31" s="33"/>
      <c r="D31" s="33"/>
      <c r="E31" s="34" t="n">
        <v>46237.2083333333</v>
      </c>
      <c r="F31" s="34"/>
    </row>
    <row r="32" customFormat="false" ht="19.5" hidden="false" customHeight="true" outlineLevel="0" collapsed="false">
      <c r="A32" s="33" t="s">
        <v>50</v>
      </c>
      <c r="B32" s="33"/>
      <c r="C32" s="33"/>
      <c r="D32" s="33"/>
      <c r="E32" s="34" t="n">
        <v>46239.2083333333</v>
      </c>
      <c r="F32" s="34"/>
    </row>
    <row r="33" customFormat="false" ht="19.5" hidden="false" customHeight="true" outlineLevel="0" collapsed="false">
      <c r="A33" s="33" t="s">
        <v>51</v>
      </c>
      <c r="B33" s="33"/>
      <c r="C33" s="33"/>
      <c r="D33" s="33"/>
      <c r="E33" s="34" t="n">
        <v>46296.2083333333</v>
      </c>
      <c r="F33" s="34"/>
    </row>
    <row r="34" customFormat="false" ht="19.5" hidden="false" customHeight="true" outlineLevel="0" collapsed="false">
      <c r="A34" s="33" t="s">
        <v>52</v>
      </c>
      <c r="B34" s="33"/>
      <c r="C34" s="33"/>
      <c r="D34" s="33"/>
      <c r="E34" s="34" t="n">
        <v>46302.2083333333</v>
      </c>
      <c r="F34" s="34"/>
    </row>
    <row r="35" customFormat="false" ht="19.5" hidden="false" customHeight="true" outlineLevel="0" collapsed="false">
      <c r="A35" s="33" t="s">
        <v>22</v>
      </c>
      <c r="B35" s="33"/>
      <c r="C35" s="33"/>
      <c r="D35" s="33"/>
      <c r="E35" s="34" t="n">
        <v>46302.2083333333</v>
      </c>
      <c r="F35" s="34"/>
    </row>
    <row r="37" customFormat="false" ht="24" hidden="false" customHeight="true" outlineLevel="0" collapsed="false">
      <c r="A37" s="3" t="s">
        <v>53</v>
      </c>
      <c r="B37" s="3"/>
      <c r="C37" s="3"/>
      <c r="D37" s="3"/>
      <c r="E37" s="3"/>
      <c r="F37" s="3"/>
      <c r="G37" s="3"/>
      <c r="H37" s="3"/>
    </row>
    <row r="38" customFormat="false" ht="30" hidden="false" customHeight="true" outlineLevel="0" collapsed="false">
      <c r="A38" s="35" t="s">
        <v>54</v>
      </c>
      <c r="B38" s="35"/>
      <c r="C38" s="35"/>
      <c r="D38" s="35"/>
      <c r="E38" s="35"/>
      <c r="F38" s="35"/>
      <c r="G38" s="35"/>
      <c r="H38" s="35"/>
    </row>
    <row r="39" customFormat="false" ht="30" hidden="false" customHeight="true" outlineLevel="0" collapsed="false">
      <c r="A39" s="35" t="s">
        <v>55</v>
      </c>
      <c r="B39" s="35"/>
      <c r="C39" s="35"/>
      <c r="D39" s="35"/>
      <c r="E39" s="35"/>
      <c r="F39" s="35"/>
      <c r="G39" s="35"/>
      <c r="H39" s="35"/>
    </row>
    <row r="40" customFormat="false" ht="30" hidden="false" customHeight="true" outlineLevel="0" collapsed="false">
      <c r="A40" s="35" t="s">
        <v>56</v>
      </c>
      <c r="B40" s="35"/>
      <c r="C40" s="35"/>
      <c r="D40" s="35"/>
      <c r="E40" s="35"/>
      <c r="F40" s="35"/>
      <c r="G40" s="35"/>
      <c r="H40" s="35"/>
    </row>
    <row r="41" customFormat="false" ht="30" hidden="false" customHeight="true" outlineLevel="0" collapsed="false">
      <c r="A41" s="35" t="s">
        <v>57</v>
      </c>
      <c r="B41" s="35"/>
      <c r="C41" s="35"/>
      <c r="D41" s="35"/>
      <c r="E41" s="35"/>
      <c r="F41" s="35"/>
      <c r="G41" s="35"/>
      <c r="H41" s="35"/>
    </row>
    <row r="42" customFormat="false" ht="30" hidden="false" customHeight="true" outlineLevel="0" collapsed="false">
      <c r="A42" s="35" t="s">
        <v>58</v>
      </c>
      <c r="B42" s="35"/>
      <c r="C42" s="35"/>
      <c r="D42" s="35"/>
      <c r="E42" s="35"/>
      <c r="F42" s="35"/>
      <c r="G42" s="35"/>
      <c r="H42" s="35"/>
    </row>
    <row r="43" customFormat="false" ht="30" hidden="false" customHeight="true" outlineLevel="0" collapsed="false">
      <c r="A43" s="35" t="s">
        <v>59</v>
      </c>
      <c r="B43" s="35"/>
      <c r="C43" s="35"/>
      <c r="D43" s="35"/>
      <c r="E43" s="35"/>
      <c r="F43" s="35"/>
      <c r="G43" s="35"/>
      <c r="H43" s="35"/>
    </row>
    <row r="44" customFormat="false" ht="30" hidden="false" customHeight="true" outlineLevel="0" collapsed="false">
      <c r="A44" s="35" t="s">
        <v>60</v>
      </c>
      <c r="B44" s="35"/>
      <c r="C44" s="35"/>
      <c r="D44" s="35"/>
      <c r="E44" s="35"/>
      <c r="F44" s="35"/>
      <c r="G44" s="35"/>
      <c r="H44" s="35"/>
    </row>
    <row r="45" customFormat="false" ht="30" hidden="false" customHeight="true" outlineLevel="0" collapsed="false">
      <c r="A45" s="35" t="s">
        <v>61</v>
      </c>
      <c r="B45" s="35"/>
      <c r="C45" s="35"/>
      <c r="D45" s="35"/>
      <c r="E45" s="35"/>
      <c r="F45" s="35"/>
      <c r="G45" s="35"/>
      <c r="H45" s="35"/>
    </row>
    <row r="46" customFormat="false" ht="30" hidden="false" customHeight="true" outlineLevel="0" collapsed="false">
      <c r="A46" s="35" t="s">
        <v>62</v>
      </c>
      <c r="B46" s="35"/>
      <c r="C46" s="35"/>
      <c r="D46" s="35"/>
      <c r="E46" s="35"/>
      <c r="F46" s="35"/>
      <c r="G46" s="35"/>
      <c r="H46" s="35"/>
    </row>
  </sheetData>
  <mergeCells count="28">
    <mergeCell ref="A1:H1"/>
    <mergeCell ref="A2:H2"/>
    <mergeCell ref="A4:H4"/>
    <mergeCell ref="A14:H14"/>
    <mergeCell ref="A21:H21"/>
    <mergeCell ref="A29:H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11" min="3" style="0" width="3.61"/>
    <col collapsed="false" customWidth="true" hidden="false" outlineLevel="0" max="12" min="12" style="0" width="6.81"/>
  </cols>
  <sheetData>
    <row r="1" customFormat="false" ht="30" hidden="false" customHeight="true" outlineLevel="0" collapsed="false">
      <c r="A1" s="36" t="s">
        <v>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customFormat="false" ht="15.75" hidden="false" customHeight="true" outlineLevel="0" collapsed="false">
      <c r="A2" s="37" t="s">
        <v>64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customFormat="false" ht="15" hidden="false" customHeight="false" outlineLevel="0" collapsed="false">
      <c r="A4" s="38" t="s">
        <v>65</v>
      </c>
      <c r="B4" s="39" t="s">
        <v>18</v>
      </c>
      <c r="C4" s="40" t="s">
        <v>66</v>
      </c>
      <c r="D4" s="40"/>
      <c r="E4" s="40"/>
      <c r="F4" s="40"/>
      <c r="G4" s="40"/>
      <c r="H4" s="40" t="s">
        <v>67</v>
      </c>
      <c r="I4" s="40"/>
      <c r="J4" s="40"/>
      <c r="K4" s="40"/>
      <c r="L4" s="40" t="s">
        <v>68</v>
      </c>
    </row>
    <row r="5" customFormat="false" ht="15" hidden="false" customHeight="false" outlineLevel="0" collapsed="false">
      <c r="A5" s="38"/>
      <c r="B5" s="39"/>
      <c r="C5" s="41" t="s">
        <v>69</v>
      </c>
      <c r="D5" s="41" t="s">
        <v>70</v>
      </c>
      <c r="E5" s="41" t="s">
        <v>71</v>
      </c>
      <c r="F5" s="41" t="s">
        <v>72</v>
      </c>
      <c r="G5" s="41" t="s">
        <v>73</v>
      </c>
      <c r="H5" s="41" t="s">
        <v>74</v>
      </c>
      <c r="I5" s="41" t="s">
        <v>75</v>
      </c>
      <c r="J5" s="41" t="s">
        <v>76</v>
      </c>
      <c r="K5" s="41" t="s">
        <v>77</v>
      </c>
      <c r="L5" s="41" t="s">
        <v>78</v>
      </c>
    </row>
    <row r="6" customFormat="false" ht="19.5" hidden="false" customHeight="true" outlineLevel="0" collapsed="false">
      <c r="A6" s="42" t="s">
        <v>79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customFormat="false" ht="25.5" hidden="false" customHeight="true" outlineLevel="0" collapsed="false">
      <c r="A7" s="43" t="s">
        <v>80</v>
      </c>
      <c r="B7" s="44" t="s">
        <v>23</v>
      </c>
      <c r="C7" s="45"/>
      <c r="D7" s="46"/>
      <c r="E7" s="46"/>
      <c r="F7" s="46"/>
      <c r="G7" s="46"/>
      <c r="H7" s="46"/>
      <c r="I7" s="46"/>
      <c r="J7" s="46"/>
      <c r="K7" s="46"/>
      <c r="L7" s="46"/>
    </row>
    <row r="8" customFormat="false" ht="25.5" hidden="false" customHeight="true" outlineLevel="0" collapsed="false">
      <c r="A8" s="43" t="s">
        <v>81</v>
      </c>
      <c r="B8" s="44" t="s">
        <v>23</v>
      </c>
      <c r="C8" s="45"/>
      <c r="D8" s="46"/>
      <c r="E8" s="46"/>
      <c r="F8" s="46"/>
      <c r="G8" s="46"/>
      <c r="H8" s="46"/>
      <c r="I8" s="46"/>
      <c r="J8" s="46"/>
      <c r="K8" s="46"/>
      <c r="L8" s="46"/>
    </row>
    <row r="9" customFormat="false" ht="25.5" hidden="false" customHeight="true" outlineLevel="0" collapsed="false">
      <c r="A9" s="43" t="s">
        <v>82</v>
      </c>
      <c r="B9" s="44" t="s">
        <v>23</v>
      </c>
      <c r="C9" s="45"/>
      <c r="D9" s="46"/>
      <c r="E9" s="46"/>
      <c r="F9" s="46"/>
      <c r="G9" s="46"/>
      <c r="H9" s="46"/>
      <c r="I9" s="46"/>
      <c r="J9" s="46"/>
      <c r="K9" s="46"/>
      <c r="L9" s="46"/>
    </row>
    <row r="10" customFormat="false" ht="25.5" hidden="false" customHeight="true" outlineLevel="0" collapsed="false">
      <c r="A10" s="43" t="s">
        <v>83</v>
      </c>
      <c r="B10" s="44" t="s">
        <v>23</v>
      </c>
      <c r="C10" s="45"/>
      <c r="D10" s="46"/>
      <c r="E10" s="46"/>
      <c r="F10" s="46"/>
      <c r="G10" s="46"/>
      <c r="H10" s="46"/>
      <c r="I10" s="46"/>
      <c r="J10" s="46"/>
      <c r="K10" s="46"/>
      <c r="L10" s="46"/>
    </row>
    <row r="11" customFormat="false" ht="25.5" hidden="false" customHeight="true" outlineLevel="0" collapsed="false">
      <c r="A11" s="43" t="s">
        <v>84</v>
      </c>
      <c r="B11" s="44" t="s">
        <v>23</v>
      </c>
      <c r="C11" s="45"/>
      <c r="D11" s="46"/>
      <c r="E11" s="46"/>
      <c r="F11" s="46"/>
      <c r="G11" s="46"/>
      <c r="H11" s="46"/>
      <c r="I11" s="46"/>
      <c r="J11" s="46"/>
      <c r="K11" s="46"/>
      <c r="L11" s="46"/>
    </row>
    <row r="12" customFormat="false" ht="25.5" hidden="false" customHeight="true" outlineLevel="0" collapsed="false">
      <c r="A12" s="43" t="s">
        <v>85</v>
      </c>
      <c r="B12" s="44" t="s">
        <v>23</v>
      </c>
      <c r="C12" s="45"/>
      <c r="D12" s="46"/>
      <c r="E12" s="46"/>
      <c r="F12" s="46"/>
      <c r="G12" s="46"/>
      <c r="H12" s="46"/>
      <c r="I12" s="46"/>
      <c r="J12" s="46"/>
      <c r="K12" s="46"/>
      <c r="L12" s="46"/>
    </row>
    <row r="13" customFormat="false" ht="25.5" hidden="false" customHeight="true" outlineLevel="0" collapsed="false">
      <c r="A13" s="43" t="s">
        <v>86</v>
      </c>
      <c r="B13" s="44" t="s">
        <v>23</v>
      </c>
      <c r="C13" s="45"/>
      <c r="D13" s="46"/>
      <c r="E13" s="46"/>
      <c r="F13" s="46"/>
      <c r="G13" s="46"/>
      <c r="H13" s="46"/>
      <c r="I13" s="46"/>
      <c r="J13" s="46"/>
      <c r="K13" s="46"/>
      <c r="L13" s="46"/>
    </row>
    <row r="14" customFormat="false" ht="25.5" hidden="false" customHeight="true" outlineLevel="0" collapsed="false">
      <c r="A14" s="43" t="s">
        <v>87</v>
      </c>
      <c r="B14" s="44" t="s">
        <v>23</v>
      </c>
      <c r="C14" s="45"/>
      <c r="D14" s="46"/>
      <c r="E14" s="46"/>
      <c r="F14" s="46"/>
      <c r="G14" s="46"/>
      <c r="H14" s="46"/>
      <c r="I14" s="46"/>
      <c r="J14" s="46"/>
      <c r="K14" s="46"/>
      <c r="L14" s="46"/>
    </row>
    <row r="15" customFormat="false" ht="25.5" hidden="false" customHeight="true" outlineLevel="0" collapsed="false">
      <c r="A15" s="43" t="s">
        <v>88</v>
      </c>
      <c r="B15" s="44" t="s">
        <v>23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</row>
    <row r="16" customFormat="false" ht="25.5" hidden="false" customHeight="true" outlineLevel="0" collapsed="false">
      <c r="A16" s="43" t="s">
        <v>89</v>
      </c>
      <c r="B16" s="44" t="s">
        <v>23</v>
      </c>
      <c r="C16" s="45"/>
      <c r="D16" s="46"/>
      <c r="E16" s="46"/>
      <c r="F16" s="46"/>
      <c r="G16" s="46"/>
      <c r="H16" s="46"/>
      <c r="I16" s="46"/>
      <c r="J16" s="46"/>
      <c r="K16" s="46"/>
      <c r="L16" s="46"/>
    </row>
    <row r="17" customFormat="false" ht="25.5" hidden="false" customHeight="true" outlineLevel="0" collapsed="false">
      <c r="A17" s="43" t="s">
        <v>90</v>
      </c>
      <c r="B17" s="44" t="s">
        <v>27</v>
      </c>
      <c r="C17" s="46"/>
      <c r="D17" s="47"/>
      <c r="E17" s="47"/>
      <c r="F17" s="46"/>
      <c r="G17" s="46"/>
      <c r="H17" s="46"/>
      <c r="I17" s="46"/>
      <c r="J17" s="46"/>
      <c r="K17" s="46"/>
      <c r="L17" s="46"/>
    </row>
    <row r="18" customFormat="false" ht="25.5" hidden="false" customHeight="true" outlineLevel="0" collapsed="false">
      <c r="A18" s="43" t="s">
        <v>91</v>
      </c>
      <c r="B18" s="44" t="s">
        <v>25</v>
      </c>
      <c r="C18" s="46"/>
      <c r="D18" s="46"/>
      <c r="E18" s="47"/>
      <c r="F18" s="46"/>
      <c r="G18" s="46"/>
      <c r="H18" s="46"/>
      <c r="I18" s="46"/>
      <c r="J18" s="46"/>
      <c r="K18" s="46"/>
      <c r="L18" s="46"/>
    </row>
    <row r="19" customFormat="false" ht="25.5" hidden="false" customHeight="true" outlineLevel="0" collapsed="false">
      <c r="A19" s="43" t="s">
        <v>92</v>
      </c>
      <c r="B19" s="44" t="s">
        <v>25</v>
      </c>
      <c r="C19" s="46"/>
      <c r="D19" s="46"/>
      <c r="E19" s="47"/>
      <c r="F19" s="46"/>
      <c r="G19" s="46"/>
      <c r="H19" s="46"/>
      <c r="I19" s="46"/>
      <c r="J19" s="46"/>
      <c r="K19" s="46"/>
      <c r="L19" s="46"/>
    </row>
    <row r="20" customFormat="false" ht="25.5" hidden="false" customHeight="true" outlineLevel="0" collapsed="false">
      <c r="A20" s="43" t="s">
        <v>93</v>
      </c>
      <c r="B20" s="44" t="s">
        <v>25</v>
      </c>
      <c r="C20" s="46"/>
      <c r="D20" s="46"/>
      <c r="E20" s="46"/>
      <c r="F20" s="46"/>
      <c r="G20" s="47"/>
      <c r="H20" s="47"/>
      <c r="I20" s="46"/>
      <c r="J20" s="46"/>
      <c r="K20" s="46"/>
      <c r="L20" s="46"/>
    </row>
    <row r="21" customFormat="false" ht="25.5" hidden="false" customHeight="true" outlineLevel="0" collapsed="false">
      <c r="A21" s="43" t="s">
        <v>94</v>
      </c>
      <c r="B21" s="44" t="s">
        <v>29</v>
      </c>
      <c r="C21" s="46"/>
      <c r="D21" s="46"/>
      <c r="E21" s="46"/>
      <c r="F21" s="46"/>
      <c r="G21" s="47"/>
      <c r="H21" s="47"/>
      <c r="I21" s="46"/>
      <c r="J21" s="46"/>
      <c r="K21" s="46"/>
      <c r="L21" s="46"/>
    </row>
    <row r="22" customFormat="false" ht="25.5" hidden="false" customHeight="true" outlineLevel="0" collapsed="false">
      <c r="A22" s="43" t="s">
        <v>95</v>
      </c>
      <c r="B22" s="44" t="s">
        <v>23</v>
      </c>
      <c r="C22" s="46"/>
      <c r="D22" s="46"/>
      <c r="E22" s="47"/>
      <c r="F22" s="47"/>
      <c r="G22" s="46"/>
      <c r="H22" s="46"/>
      <c r="I22" s="46"/>
      <c r="J22" s="46"/>
      <c r="K22" s="46"/>
      <c r="L22" s="46"/>
    </row>
    <row r="23" customFormat="false" ht="25.5" hidden="false" customHeight="true" outlineLevel="0" collapsed="false">
      <c r="A23" s="43" t="s">
        <v>96</v>
      </c>
      <c r="B23" s="44" t="s">
        <v>23</v>
      </c>
      <c r="C23" s="46"/>
      <c r="D23" s="46"/>
      <c r="E23" s="46"/>
      <c r="F23" s="46"/>
      <c r="G23" s="47"/>
      <c r="H23" s="47"/>
      <c r="I23" s="46"/>
      <c r="J23" s="46"/>
      <c r="K23" s="46"/>
      <c r="L23" s="46"/>
    </row>
    <row r="24" customFormat="false" ht="25.5" hidden="false" customHeight="true" outlineLevel="0" collapsed="false">
      <c r="A24" s="43" t="s">
        <v>97</v>
      </c>
      <c r="B24" s="44" t="s">
        <v>27</v>
      </c>
      <c r="C24" s="46"/>
      <c r="D24" s="46"/>
      <c r="E24" s="47"/>
      <c r="F24" s="47"/>
      <c r="G24" s="46"/>
      <c r="H24" s="46"/>
      <c r="I24" s="46"/>
      <c r="J24" s="46"/>
      <c r="K24" s="46"/>
      <c r="L24" s="46"/>
    </row>
    <row r="25" customFormat="false" ht="25.5" hidden="false" customHeight="true" outlineLevel="0" collapsed="false">
      <c r="A25" s="43" t="s">
        <v>98</v>
      </c>
      <c r="B25" s="44" t="s">
        <v>29</v>
      </c>
      <c r="C25" s="47"/>
      <c r="D25" s="47"/>
      <c r="E25" s="46"/>
      <c r="F25" s="46"/>
      <c r="G25" s="46"/>
      <c r="H25" s="46"/>
      <c r="I25" s="46"/>
      <c r="J25" s="46"/>
      <c r="K25" s="46"/>
      <c r="L25" s="46"/>
    </row>
    <row r="26" customFormat="false" ht="25.5" hidden="false" customHeight="true" outlineLevel="0" collapsed="false">
      <c r="A26" s="43" t="s">
        <v>99</v>
      </c>
      <c r="B26" s="44" t="s">
        <v>29</v>
      </c>
      <c r="C26" s="46"/>
      <c r="D26" s="46"/>
      <c r="E26" s="46"/>
      <c r="F26" s="46"/>
      <c r="G26" s="46"/>
      <c r="H26" s="46"/>
      <c r="I26" s="46"/>
      <c r="J26" s="46"/>
      <c r="K26" s="47"/>
      <c r="L26" s="46"/>
    </row>
    <row r="27" customFormat="false" ht="25.5" hidden="false" customHeight="true" outlineLevel="0" collapsed="false">
      <c r="A27" s="43" t="s">
        <v>100</v>
      </c>
      <c r="B27" s="44" t="s">
        <v>25</v>
      </c>
      <c r="C27" s="46"/>
      <c r="D27" s="47"/>
      <c r="E27" s="46"/>
      <c r="F27" s="46"/>
      <c r="G27" s="46"/>
      <c r="H27" s="46"/>
      <c r="I27" s="46"/>
      <c r="J27" s="46"/>
      <c r="K27" s="46"/>
      <c r="L27" s="46"/>
    </row>
    <row r="28" customFormat="false" ht="25.5" hidden="false" customHeight="true" outlineLevel="0" collapsed="false">
      <c r="A28" s="43" t="s">
        <v>101</v>
      </c>
      <c r="B28" s="44" t="s">
        <v>29</v>
      </c>
      <c r="C28" s="46"/>
      <c r="D28" s="46"/>
      <c r="E28" s="46"/>
      <c r="F28" s="46"/>
      <c r="G28" s="46"/>
      <c r="H28" s="46"/>
      <c r="I28" s="47"/>
      <c r="J28" s="46"/>
      <c r="K28" s="46"/>
      <c r="L28" s="46"/>
    </row>
    <row r="29" customFormat="false" ht="19.5" hidden="false" customHeight="true" outlineLevel="0" collapsed="false">
      <c r="A29" s="48" t="s">
        <v>102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customFormat="false" ht="25.5" hidden="false" customHeight="true" outlineLevel="0" collapsed="false">
      <c r="A30" s="43" t="s">
        <v>103</v>
      </c>
      <c r="B30" s="44" t="s">
        <v>23</v>
      </c>
      <c r="C30" s="49"/>
      <c r="D30" s="46"/>
      <c r="E30" s="46"/>
      <c r="F30" s="46"/>
      <c r="G30" s="46"/>
      <c r="H30" s="46"/>
      <c r="I30" s="46"/>
      <c r="J30" s="46"/>
      <c r="K30" s="46"/>
      <c r="L30" s="46"/>
    </row>
    <row r="31" customFormat="false" ht="25.5" hidden="false" customHeight="true" outlineLevel="0" collapsed="false">
      <c r="A31" s="43" t="s">
        <v>104</v>
      </c>
      <c r="B31" s="44" t="s">
        <v>25</v>
      </c>
      <c r="C31" s="49"/>
      <c r="D31" s="49"/>
      <c r="E31" s="46"/>
      <c r="F31" s="46"/>
      <c r="G31" s="46"/>
      <c r="H31" s="46"/>
      <c r="I31" s="46"/>
      <c r="J31" s="46"/>
      <c r="K31" s="46"/>
      <c r="L31" s="46"/>
    </row>
    <row r="32" customFormat="false" ht="25.5" hidden="false" customHeight="true" outlineLevel="0" collapsed="false">
      <c r="A32" s="43" t="s">
        <v>105</v>
      </c>
      <c r="B32" s="44" t="s">
        <v>27</v>
      </c>
      <c r="C32" s="49"/>
      <c r="D32" s="49"/>
      <c r="E32" s="46"/>
      <c r="F32" s="46"/>
      <c r="G32" s="46"/>
      <c r="H32" s="46"/>
      <c r="I32" s="46"/>
      <c r="J32" s="46"/>
      <c r="K32" s="46"/>
      <c r="L32" s="46"/>
    </row>
    <row r="33" customFormat="false" ht="25.5" hidden="false" customHeight="true" outlineLevel="0" collapsed="false">
      <c r="A33" s="43" t="s">
        <v>81</v>
      </c>
      <c r="B33" s="44" t="s">
        <v>29</v>
      </c>
      <c r="C33" s="46"/>
      <c r="D33" s="49"/>
      <c r="E33" s="46"/>
      <c r="F33" s="46"/>
      <c r="G33" s="46"/>
      <c r="H33" s="46"/>
      <c r="I33" s="46"/>
      <c r="J33" s="46"/>
      <c r="K33" s="46"/>
      <c r="L33" s="46"/>
    </row>
    <row r="34" customFormat="false" ht="25.5" hidden="false" customHeight="true" outlineLevel="0" collapsed="false">
      <c r="A34" s="43" t="s">
        <v>82</v>
      </c>
      <c r="B34" s="44" t="s">
        <v>27</v>
      </c>
      <c r="C34" s="46"/>
      <c r="D34" s="46"/>
      <c r="E34" s="46"/>
      <c r="F34" s="46"/>
      <c r="G34" s="49"/>
      <c r="H34" s="49"/>
      <c r="I34" s="46"/>
      <c r="J34" s="46"/>
      <c r="K34" s="46"/>
      <c r="L34" s="46"/>
    </row>
    <row r="35" customFormat="false" ht="25.5" hidden="false" customHeight="true" outlineLevel="0" collapsed="false">
      <c r="A35" s="43" t="s">
        <v>83</v>
      </c>
      <c r="B35" s="44" t="s">
        <v>25</v>
      </c>
      <c r="C35" s="46"/>
      <c r="D35" s="46"/>
      <c r="E35" s="46"/>
      <c r="F35" s="46"/>
      <c r="G35" s="46"/>
      <c r="H35" s="49"/>
      <c r="I35" s="46"/>
      <c r="J35" s="46"/>
      <c r="K35" s="46"/>
      <c r="L35" s="46"/>
    </row>
    <row r="36" customFormat="false" ht="25.5" hidden="false" customHeight="true" outlineLevel="0" collapsed="false">
      <c r="A36" s="43" t="s">
        <v>84</v>
      </c>
      <c r="B36" s="44" t="s">
        <v>23</v>
      </c>
      <c r="C36" s="46"/>
      <c r="D36" s="46"/>
      <c r="E36" s="49"/>
      <c r="F36" s="46"/>
      <c r="G36" s="46"/>
      <c r="H36" s="46"/>
      <c r="I36" s="46"/>
      <c r="J36" s="46"/>
      <c r="K36" s="46"/>
      <c r="L36" s="46"/>
    </row>
    <row r="37" customFormat="false" ht="25.5" hidden="false" customHeight="true" outlineLevel="0" collapsed="false">
      <c r="A37" s="43" t="s">
        <v>85</v>
      </c>
      <c r="B37" s="44" t="s">
        <v>27</v>
      </c>
      <c r="C37" s="46"/>
      <c r="D37" s="46"/>
      <c r="E37" s="46"/>
      <c r="F37" s="46"/>
      <c r="G37" s="46"/>
      <c r="H37" s="49"/>
      <c r="I37" s="46"/>
      <c r="J37" s="46"/>
      <c r="K37" s="46"/>
      <c r="L37" s="46"/>
    </row>
    <row r="38" customFormat="false" ht="25.5" hidden="false" customHeight="true" outlineLevel="0" collapsed="false">
      <c r="A38" s="43" t="s">
        <v>86</v>
      </c>
      <c r="B38" s="44" t="s">
        <v>23</v>
      </c>
      <c r="C38" s="46"/>
      <c r="D38" s="46"/>
      <c r="E38" s="46"/>
      <c r="F38" s="46"/>
      <c r="G38" s="46"/>
      <c r="H38" s="46"/>
      <c r="I38" s="49"/>
      <c r="J38" s="49"/>
      <c r="K38" s="46"/>
      <c r="L38" s="46"/>
    </row>
    <row r="39" customFormat="false" ht="25.5" hidden="false" customHeight="true" outlineLevel="0" collapsed="false">
      <c r="A39" s="43" t="s">
        <v>87</v>
      </c>
      <c r="B39" s="44" t="s">
        <v>29</v>
      </c>
      <c r="C39" s="46"/>
      <c r="D39" s="46"/>
      <c r="E39" s="46"/>
      <c r="F39" s="49"/>
      <c r="G39" s="46"/>
      <c r="H39" s="46"/>
      <c r="I39" s="46"/>
      <c r="J39" s="46"/>
      <c r="K39" s="46"/>
      <c r="L39" s="46"/>
    </row>
    <row r="40" customFormat="false" ht="25.5" hidden="false" customHeight="true" outlineLevel="0" collapsed="false">
      <c r="A40" s="43" t="s">
        <v>88</v>
      </c>
      <c r="B40" s="44" t="s">
        <v>29</v>
      </c>
      <c r="C40" s="46"/>
      <c r="D40" s="46"/>
      <c r="E40" s="46"/>
      <c r="F40" s="46"/>
      <c r="G40" s="46"/>
      <c r="H40" s="49"/>
      <c r="I40" s="46"/>
      <c r="J40" s="46"/>
      <c r="K40" s="46"/>
      <c r="L40" s="46"/>
    </row>
    <row r="41" customFormat="false" ht="25.5" hidden="false" customHeight="true" outlineLevel="0" collapsed="false">
      <c r="A41" s="43" t="s">
        <v>89</v>
      </c>
      <c r="B41" s="44" t="s">
        <v>25</v>
      </c>
      <c r="C41" s="46"/>
      <c r="D41" s="46"/>
      <c r="E41" s="46"/>
      <c r="F41" s="49"/>
      <c r="G41" s="46"/>
      <c r="H41" s="46"/>
      <c r="I41" s="46"/>
      <c r="J41" s="46"/>
      <c r="K41" s="46"/>
      <c r="L41" s="46"/>
    </row>
    <row r="42" customFormat="false" ht="25.5" hidden="false" customHeight="true" outlineLevel="0" collapsed="false">
      <c r="A42" s="43" t="s">
        <v>90</v>
      </c>
      <c r="B42" s="44" t="s">
        <v>23</v>
      </c>
      <c r="C42" s="46"/>
      <c r="D42" s="46"/>
      <c r="E42" s="46"/>
      <c r="F42" s="49"/>
      <c r="G42" s="49"/>
      <c r="H42" s="46"/>
      <c r="I42" s="46"/>
      <c r="J42" s="46"/>
      <c r="K42" s="46"/>
      <c r="L42" s="46"/>
    </row>
    <row r="43" customFormat="false" ht="25.5" hidden="false" customHeight="true" outlineLevel="0" collapsed="false">
      <c r="A43" s="43" t="s">
        <v>91</v>
      </c>
      <c r="B43" s="44" t="s">
        <v>29</v>
      </c>
      <c r="C43" s="46"/>
      <c r="D43" s="46"/>
      <c r="E43" s="46"/>
      <c r="F43" s="49"/>
      <c r="G43" s="49"/>
      <c r="H43" s="46"/>
      <c r="I43" s="46"/>
      <c r="J43" s="46"/>
      <c r="K43" s="46"/>
      <c r="L43" s="46"/>
    </row>
    <row r="44" customFormat="false" ht="25.5" hidden="false" customHeight="true" outlineLevel="0" collapsed="false">
      <c r="A44" s="43" t="s">
        <v>92</v>
      </c>
      <c r="B44" s="44" t="s">
        <v>25</v>
      </c>
      <c r="C44" s="46"/>
      <c r="D44" s="46"/>
      <c r="E44" s="46"/>
      <c r="F44" s="49"/>
      <c r="G44" s="49"/>
      <c r="H44" s="46"/>
      <c r="I44" s="46"/>
      <c r="J44" s="46"/>
      <c r="K44" s="46"/>
      <c r="L44" s="46"/>
    </row>
    <row r="45" customFormat="false" ht="25.5" hidden="false" customHeight="true" outlineLevel="0" collapsed="false">
      <c r="A45" s="43" t="s">
        <v>93</v>
      </c>
      <c r="B45" s="44" t="s">
        <v>25</v>
      </c>
      <c r="C45" s="46"/>
      <c r="D45" s="46"/>
      <c r="E45" s="46"/>
      <c r="F45" s="46"/>
      <c r="G45" s="46"/>
      <c r="H45" s="46"/>
      <c r="I45" s="49"/>
      <c r="J45" s="49"/>
      <c r="K45" s="46"/>
      <c r="L45" s="46"/>
    </row>
    <row r="46" customFormat="false" ht="25.5" hidden="false" customHeight="true" outlineLevel="0" collapsed="false">
      <c r="A46" s="43" t="s">
        <v>94</v>
      </c>
      <c r="B46" s="44" t="s">
        <v>23</v>
      </c>
      <c r="C46" s="46"/>
      <c r="D46" s="46"/>
      <c r="E46" s="46"/>
      <c r="F46" s="46"/>
      <c r="G46" s="46"/>
      <c r="H46" s="46"/>
      <c r="I46" s="49"/>
      <c r="J46" s="46"/>
      <c r="K46" s="46"/>
      <c r="L46" s="46"/>
    </row>
    <row r="47" customFormat="false" ht="25.5" hidden="false" customHeight="true" outlineLevel="0" collapsed="false">
      <c r="A47" s="43" t="s">
        <v>97</v>
      </c>
      <c r="B47" s="44" t="s">
        <v>25</v>
      </c>
      <c r="C47" s="46"/>
      <c r="D47" s="46"/>
      <c r="E47" s="46"/>
      <c r="F47" s="46"/>
      <c r="G47" s="46"/>
      <c r="H47" s="46"/>
      <c r="I47" s="49"/>
      <c r="J47" s="46"/>
      <c r="K47" s="46"/>
      <c r="L47" s="46"/>
    </row>
    <row r="48" customFormat="false" ht="25.5" hidden="false" customHeight="true" outlineLevel="0" collapsed="false">
      <c r="A48" s="43" t="s">
        <v>98</v>
      </c>
      <c r="B48" s="44" t="s">
        <v>27</v>
      </c>
      <c r="C48" s="46"/>
      <c r="D48" s="46"/>
      <c r="E48" s="46"/>
      <c r="F48" s="49"/>
      <c r="G48" s="49"/>
      <c r="H48" s="46"/>
      <c r="I48" s="46"/>
      <c r="J48" s="46"/>
      <c r="K48" s="46"/>
      <c r="L48" s="46"/>
    </row>
    <row r="49" customFormat="false" ht="25.5" hidden="false" customHeight="true" outlineLevel="0" collapsed="false">
      <c r="A49" s="43" t="s">
        <v>106</v>
      </c>
      <c r="B49" s="44" t="s">
        <v>27</v>
      </c>
      <c r="C49" s="46"/>
      <c r="D49" s="46"/>
      <c r="E49" s="46"/>
      <c r="F49" s="46"/>
      <c r="G49" s="46"/>
      <c r="H49" s="46"/>
      <c r="I49" s="49"/>
      <c r="J49" s="46"/>
      <c r="K49" s="46"/>
      <c r="L49" s="46"/>
    </row>
    <row r="50" customFormat="false" ht="25.5" hidden="false" customHeight="true" outlineLevel="0" collapsed="false">
      <c r="A50" s="43" t="s">
        <v>107</v>
      </c>
      <c r="B50" s="44" t="s">
        <v>23</v>
      </c>
      <c r="C50" s="46"/>
      <c r="D50" s="49"/>
      <c r="E50" s="46"/>
      <c r="F50" s="46"/>
      <c r="G50" s="46"/>
      <c r="H50" s="46"/>
      <c r="I50" s="46"/>
      <c r="J50" s="46"/>
      <c r="K50" s="46"/>
      <c r="L50" s="46"/>
    </row>
    <row r="51" customFormat="false" ht="25.5" hidden="false" customHeight="true" outlineLevel="0" collapsed="false">
      <c r="A51" s="43" t="s">
        <v>108</v>
      </c>
      <c r="B51" s="44" t="s">
        <v>27</v>
      </c>
      <c r="C51" s="46"/>
      <c r="D51" s="46"/>
      <c r="E51" s="46"/>
      <c r="F51" s="46"/>
      <c r="G51" s="46"/>
      <c r="H51" s="46"/>
      <c r="I51" s="46"/>
      <c r="J51" s="49"/>
      <c r="K51" s="46"/>
      <c r="L51" s="46"/>
    </row>
    <row r="52" customFormat="false" ht="25.5" hidden="false" customHeight="true" outlineLevel="0" collapsed="false">
      <c r="A52" s="43" t="s">
        <v>109</v>
      </c>
      <c r="B52" s="44" t="s">
        <v>23</v>
      </c>
      <c r="C52" s="46"/>
      <c r="D52" s="46"/>
      <c r="E52" s="46"/>
      <c r="F52" s="46"/>
      <c r="G52" s="46"/>
      <c r="H52" s="46"/>
      <c r="I52" s="46"/>
      <c r="J52" s="49"/>
      <c r="K52" s="49"/>
      <c r="L52" s="46"/>
    </row>
    <row r="53" customFormat="false" ht="25.5" hidden="false" customHeight="true" outlineLevel="0" collapsed="false">
      <c r="A53" s="43" t="s">
        <v>110</v>
      </c>
      <c r="B53" s="44" t="s">
        <v>25</v>
      </c>
      <c r="C53" s="46"/>
      <c r="D53" s="46"/>
      <c r="E53" s="46"/>
      <c r="F53" s="46"/>
      <c r="G53" s="46"/>
      <c r="H53" s="46"/>
      <c r="I53" s="46"/>
      <c r="J53" s="49"/>
      <c r="K53" s="49"/>
      <c r="L53" s="46"/>
    </row>
    <row r="54" customFormat="false" ht="25.5" hidden="false" customHeight="true" outlineLevel="0" collapsed="false">
      <c r="A54" s="43" t="s">
        <v>111</v>
      </c>
      <c r="B54" s="44" t="s">
        <v>27</v>
      </c>
      <c r="C54" s="46"/>
      <c r="D54" s="46"/>
      <c r="E54" s="46"/>
      <c r="F54" s="46"/>
      <c r="G54" s="46"/>
      <c r="H54" s="46"/>
      <c r="I54" s="46"/>
      <c r="J54" s="49"/>
      <c r="K54" s="49"/>
      <c r="L54" s="46"/>
    </row>
    <row r="55" customFormat="false" ht="25.5" hidden="false" customHeight="true" outlineLevel="0" collapsed="false">
      <c r="A55" s="43" t="s">
        <v>112</v>
      </c>
      <c r="B55" s="44" t="s">
        <v>23</v>
      </c>
      <c r="C55" s="46"/>
      <c r="D55" s="46"/>
      <c r="E55" s="46"/>
      <c r="F55" s="46"/>
      <c r="G55" s="46"/>
      <c r="H55" s="46"/>
      <c r="I55" s="46"/>
      <c r="J55" s="46"/>
      <c r="K55" s="49"/>
      <c r="L55" s="46"/>
    </row>
    <row r="56" customFormat="false" ht="25.5" hidden="false" customHeight="true" outlineLevel="0" collapsed="false">
      <c r="A56" s="43" t="s">
        <v>113</v>
      </c>
      <c r="B56" s="44" t="s">
        <v>23</v>
      </c>
      <c r="C56" s="46"/>
      <c r="D56" s="46"/>
      <c r="E56" s="46"/>
      <c r="F56" s="46"/>
      <c r="G56" s="46"/>
      <c r="H56" s="46"/>
      <c r="I56" s="46"/>
      <c r="J56" s="46"/>
      <c r="K56" s="46"/>
      <c r="L56" s="49"/>
    </row>
    <row r="57" customFormat="false" ht="25.5" hidden="false" customHeight="true" outlineLevel="0" collapsed="false">
      <c r="A57" s="43" t="s">
        <v>114</v>
      </c>
      <c r="B57" s="44" t="s">
        <v>25</v>
      </c>
      <c r="C57" s="46"/>
      <c r="D57" s="46"/>
      <c r="E57" s="46"/>
      <c r="F57" s="46"/>
      <c r="G57" s="46"/>
      <c r="H57" s="46"/>
      <c r="I57" s="46"/>
      <c r="J57" s="46"/>
      <c r="K57" s="49"/>
      <c r="L57" s="46"/>
    </row>
    <row r="58" customFormat="false" ht="25.5" hidden="false" customHeight="true" outlineLevel="0" collapsed="false">
      <c r="A58" s="43" t="s">
        <v>115</v>
      </c>
      <c r="B58" s="44" t="s">
        <v>27</v>
      </c>
      <c r="C58" s="46"/>
      <c r="D58" s="46"/>
      <c r="E58" s="46"/>
      <c r="F58" s="46"/>
      <c r="G58" s="46"/>
      <c r="H58" s="46"/>
      <c r="I58" s="46"/>
      <c r="J58" s="46"/>
      <c r="K58" s="49"/>
      <c r="L58" s="46"/>
    </row>
    <row r="59" customFormat="false" ht="25.5" hidden="false" customHeight="true" outlineLevel="0" collapsed="false">
      <c r="A59" s="43" t="s">
        <v>96</v>
      </c>
      <c r="B59" s="44" t="s">
        <v>29</v>
      </c>
      <c r="C59" s="46"/>
      <c r="D59" s="46"/>
      <c r="E59" s="46"/>
      <c r="F59" s="46"/>
      <c r="G59" s="46"/>
      <c r="H59" s="46"/>
      <c r="I59" s="46"/>
      <c r="J59" s="49"/>
      <c r="K59" s="49"/>
      <c r="L59" s="46"/>
    </row>
    <row r="60" customFormat="false" ht="25.5" hidden="false" customHeight="true" outlineLevel="0" collapsed="false">
      <c r="A60" s="43" t="s">
        <v>116</v>
      </c>
      <c r="B60" s="44" t="s">
        <v>29</v>
      </c>
      <c r="C60" s="46"/>
      <c r="D60" s="46"/>
      <c r="E60" s="46"/>
      <c r="F60" s="46"/>
      <c r="G60" s="46"/>
      <c r="H60" s="46"/>
      <c r="I60" s="46"/>
      <c r="J60" s="46"/>
      <c r="K60" s="46"/>
      <c r="L60" s="49"/>
    </row>
  </sheetData>
  <mergeCells count="8">
    <mergeCell ref="A1:L1"/>
    <mergeCell ref="A2:L2"/>
    <mergeCell ref="A4:A5"/>
    <mergeCell ref="B4:B5"/>
    <mergeCell ref="C4:G4"/>
    <mergeCell ref="H4:K4"/>
    <mergeCell ref="A6:L6"/>
    <mergeCell ref="A29:L29"/>
  </mergeCells>
  <dataValidations count="2">
    <dataValidation allowBlank="true" errorStyle="stop" operator="between" showDropDown="false" showErrorMessage="false" showInputMessage="false" sqref="B30:B60" type="list">
      <formula1>"Sergio Anaya,Yoarlys Carrillo,Leidy Iral,Yulieth Guarin"</formula1>
      <formula2>0</formula2>
    </dataValidation>
    <dataValidation allowBlank="true" errorStyle="stop" operator="between" showDropDown="false" showErrorMessage="false" showInputMessage="false" sqref="B7:B28" type="list">
      <formula1>"Sergio Anaya,Yoarlys Carrillo,Leidy Iral,Yulieth Guarin"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54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1" min="11" style="0" width="10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50" t="s">
        <v>117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customFormat="false" ht="18" hidden="false" customHeight="tru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3.75" hidden="false" customHeight="true" outlineLevel="0" collapsed="false">
      <c r="A4" s="51" t="s">
        <v>65</v>
      </c>
      <c r="B4" s="51" t="s">
        <v>119</v>
      </c>
      <c r="C4" s="51" t="s">
        <v>120</v>
      </c>
      <c r="D4" s="51" t="s">
        <v>121</v>
      </c>
      <c r="E4" s="51" t="s">
        <v>122</v>
      </c>
      <c r="F4" s="51" t="s">
        <v>123</v>
      </c>
      <c r="G4" s="51" t="s">
        <v>18</v>
      </c>
      <c r="H4" s="51" t="s">
        <v>8</v>
      </c>
      <c r="I4" s="51" t="s">
        <v>9</v>
      </c>
      <c r="J4" s="51" t="s">
        <v>5</v>
      </c>
      <c r="K4" s="51" t="s">
        <v>6</v>
      </c>
      <c r="L4" s="51" t="s">
        <v>7</v>
      </c>
      <c r="M4" s="51" t="s">
        <v>124</v>
      </c>
    </row>
    <row r="5" customFormat="false" ht="30" hidden="false" customHeight="true" outlineLevel="0" collapsed="false">
      <c r="A5" s="52" t="s">
        <v>80</v>
      </c>
      <c r="B5" s="53" t="s">
        <v>38</v>
      </c>
      <c r="C5" s="54" t="s">
        <v>36</v>
      </c>
      <c r="D5" s="55" t="s">
        <v>125</v>
      </c>
      <c r="E5" s="53" t="s">
        <v>43</v>
      </c>
      <c r="F5" s="55" t="s">
        <v>126</v>
      </c>
      <c r="G5" s="53" t="s">
        <v>23</v>
      </c>
      <c r="H5" s="56" t="n">
        <v>46237.2083333333</v>
      </c>
      <c r="I5" s="56" t="n">
        <v>46237.2083333333</v>
      </c>
      <c r="J5" s="57" t="n">
        <v>5</v>
      </c>
      <c r="K5" s="57"/>
      <c r="L5" s="58" t="n">
        <v>1</v>
      </c>
      <c r="M5" s="55" t="s">
        <v>127</v>
      </c>
    </row>
    <row r="6" customFormat="false" ht="30" hidden="false" customHeight="true" outlineLevel="0" collapsed="false">
      <c r="A6" s="59" t="s">
        <v>81</v>
      </c>
      <c r="B6" s="60" t="s">
        <v>38</v>
      </c>
      <c r="C6" s="54" t="s">
        <v>36</v>
      </c>
      <c r="D6" s="61" t="s">
        <v>125</v>
      </c>
      <c r="E6" s="60" t="s">
        <v>43</v>
      </c>
      <c r="F6" s="61" t="s">
        <v>80</v>
      </c>
      <c r="G6" s="60" t="s">
        <v>23</v>
      </c>
      <c r="H6" s="62" t="n">
        <v>46237.2083333333</v>
      </c>
      <c r="I6" s="62" t="n">
        <v>46237.2083333333</v>
      </c>
      <c r="J6" s="63" t="n">
        <v>5</v>
      </c>
      <c r="K6" s="63"/>
      <c r="L6" s="64" t="n">
        <v>1</v>
      </c>
      <c r="M6" s="61" t="s">
        <v>128</v>
      </c>
    </row>
    <row r="7" customFormat="false" ht="30" hidden="false" customHeight="true" outlineLevel="0" collapsed="false">
      <c r="A7" s="52" t="s">
        <v>82</v>
      </c>
      <c r="B7" s="53" t="s">
        <v>38</v>
      </c>
      <c r="C7" s="54" t="s">
        <v>36</v>
      </c>
      <c r="D7" s="55" t="s">
        <v>125</v>
      </c>
      <c r="E7" s="53" t="s">
        <v>43</v>
      </c>
      <c r="F7" s="55" t="s">
        <v>81</v>
      </c>
      <c r="G7" s="53" t="s">
        <v>23</v>
      </c>
      <c r="H7" s="56" t="n">
        <v>46237.2083333333</v>
      </c>
      <c r="I7" s="56" t="n">
        <v>46238.2083333333</v>
      </c>
      <c r="J7" s="57" t="n">
        <v>8</v>
      </c>
      <c r="K7" s="57"/>
      <c r="L7" s="58" t="n">
        <v>1</v>
      </c>
      <c r="M7" s="55" t="s">
        <v>129</v>
      </c>
    </row>
    <row r="8" customFormat="false" ht="30" hidden="false" customHeight="true" outlineLevel="0" collapsed="false">
      <c r="A8" s="59" t="s">
        <v>83</v>
      </c>
      <c r="B8" s="60" t="s">
        <v>38</v>
      </c>
      <c r="C8" s="54" t="s">
        <v>36</v>
      </c>
      <c r="D8" s="61" t="s">
        <v>125</v>
      </c>
      <c r="E8" s="60" t="s">
        <v>43</v>
      </c>
      <c r="F8" s="61" t="s">
        <v>81</v>
      </c>
      <c r="G8" s="60" t="s">
        <v>23</v>
      </c>
      <c r="H8" s="62" t="n">
        <v>46237.2083333333</v>
      </c>
      <c r="I8" s="62" t="n">
        <v>46237.2083333333</v>
      </c>
      <c r="J8" s="63" t="n">
        <v>5</v>
      </c>
      <c r="K8" s="63"/>
      <c r="L8" s="64" t="n">
        <v>1</v>
      </c>
      <c r="M8" s="61" t="s">
        <v>130</v>
      </c>
    </row>
    <row r="9" customFormat="false" ht="30" hidden="false" customHeight="true" outlineLevel="0" collapsed="false">
      <c r="A9" s="52" t="s">
        <v>84</v>
      </c>
      <c r="B9" s="53" t="s">
        <v>38</v>
      </c>
      <c r="C9" s="54" t="s">
        <v>36</v>
      </c>
      <c r="D9" s="55" t="s">
        <v>125</v>
      </c>
      <c r="E9" s="53" t="s">
        <v>40</v>
      </c>
      <c r="F9" s="55" t="s">
        <v>81</v>
      </c>
      <c r="G9" s="53" t="s">
        <v>23</v>
      </c>
      <c r="H9" s="56" t="n">
        <v>46237.2083333333</v>
      </c>
      <c r="I9" s="56" t="n">
        <v>46237.2083333333</v>
      </c>
      <c r="J9" s="57" t="n">
        <v>5</v>
      </c>
      <c r="K9" s="57"/>
      <c r="L9" s="58" t="n">
        <v>1</v>
      </c>
      <c r="M9" s="55" t="s">
        <v>131</v>
      </c>
    </row>
    <row r="10" customFormat="false" ht="30" hidden="false" customHeight="true" outlineLevel="0" collapsed="false">
      <c r="A10" s="59" t="s">
        <v>85</v>
      </c>
      <c r="B10" s="60" t="s">
        <v>38</v>
      </c>
      <c r="C10" s="54" t="s">
        <v>36</v>
      </c>
      <c r="D10" s="61" t="s">
        <v>125</v>
      </c>
      <c r="E10" s="60" t="s">
        <v>40</v>
      </c>
      <c r="F10" s="61" t="s">
        <v>84</v>
      </c>
      <c r="G10" s="60" t="s">
        <v>23</v>
      </c>
      <c r="H10" s="62" t="n">
        <v>46237.2083333333</v>
      </c>
      <c r="I10" s="62" t="n">
        <v>46237.2083333333</v>
      </c>
      <c r="J10" s="63" t="n">
        <v>5</v>
      </c>
      <c r="K10" s="63"/>
      <c r="L10" s="64" t="n">
        <v>1</v>
      </c>
      <c r="M10" s="61" t="s">
        <v>132</v>
      </c>
    </row>
    <row r="11" customFormat="false" ht="30" hidden="false" customHeight="true" outlineLevel="0" collapsed="false">
      <c r="A11" s="52" t="s">
        <v>86</v>
      </c>
      <c r="B11" s="53" t="s">
        <v>38</v>
      </c>
      <c r="C11" s="54" t="s">
        <v>36</v>
      </c>
      <c r="D11" s="55" t="s">
        <v>133</v>
      </c>
      <c r="E11" s="53" t="s">
        <v>37</v>
      </c>
      <c r="F11" s="55" t="s">
        <v>85</v>
      </c>
      <c r="G11" s="53" t="s">
        <v>23</v>
      </c>
      <c r="H11" s="56" t="n">
        <v>46237.2083333333</v>
      </c>
      <c r="I11" s="56" t="n">
        <v>46238.2083333333</v>
      </c>
      <c r="J11" s="57" t="n">
        <v>10</v>
      </c>
      <c r="K11" s="57"/>
      <c r="L11" s="58" t="n">
        <v>1</v>
      </c>
      <c r="M11" s="55" t="s">
        <v>134</v>
      </c>
    </row>
    <row r="12" customFormat="false" ht="30" hidden="false" customHeight="true" outlineLevel="0" collapsed="false">
      <c r="A12" s="59" t="s">
        <v>87</v>
      </c>
      <c r="B12" s="60" t="s">
        <v>38</v>
      </c>
      <c r="C12" s="54" t="s">
        <v>36</v>
      </c>
      <c r="D12" s="61" t="s">
        <v>125</v>
      </c>
      <c r="E12" s="60" t="s">
        <v>40</v>
      </c>
      <c r="F12" s="61" t="s">
        <v>81</v>
      </c>
      <c r="G12" s="60" t="s">
        <v>23</v>
      </c>
      <c r="H12" s="62" t="n">
        <v>46237.2083333333</v>
      </c>
      <c r="I12" s="62" t="n">
        <v>46237.2083333333</v>
      </c>
      <c r="J12" s="63" t="n">
        <v>4</v>
      </c>
      <c r="K12" s="63"/>
      <c r="L12" s="64" t="n">
        <v>1</v>
      </c>
      <c r="M12" s="61" t="s">
        <v>135</v>
      </c>
    </row>
    <row r="13" customFormat="false" ht="30" hidden="false" customHeight="true" outlineLevel="0" collapsed="false">
      <c r="A13" s="52" t="s">
        <v>88</v>
      </c>
      <c r="B13" s="53" t="s">
        <v>38</v>
      </c>
      <c r="C13" s="54" t="s">
        <v>36</v>
      </c>
      <c r="D13" s="55" t="s">
        <v>125</v>
      </c>
      <c r="E13" s="53" t="s">
        <v>40</v>
      </c>
      <c r="F13" s="55" t="s">
        <v>87</v>
      </c>
      <c r="G13" s="53" t="s">
        <v>23</v>
      </c>
      <c r="H13" s="56" t="n">
        <v>46237.2083333333</v>
      </c>
      <c r="I13" s="56" t="n">
        <v>46237.2083333333</v>
      </c>
      <c r="J13" s="57" t="n">
        <v>4</v>
      </c>
      <c r="K13" s="57"/>
      <c r="L13" s="58" t="n">
        <v>1</v>
      </c>
      <c r="M13" s="55" t="s">
        <v>135</v>
      </c>
    </row>
    <row r="14" customFormat="false" ht="30" hidden="false" customHeight="true" outlineLevel="0" collapsed="false">
      <c r="A14" s="59" t="s">
        <v>89</v>
      </c>
      <c r="B14" s="60" t="s">
        <v>38</v>
      </c>
      <c r="C14" s="54" t="s">
        <v>36</v>
      </c>
      <c r="D14" s="61" t="s">
        <v>125</v>
      </c>
      <c r="E14" s="60" t="s">
        <v>40</v>
      </c>
      <c r="F14" s="61" t="s">
        <v>81</v>
      </c>
      <c r="G14" s="60" t="s">
        <v>23</v>
      </c>
      <c r="H14" s="62" t="n">
        <v>46237.2083333333</v>
      </c>
      <c r="I14" s="62" t="n">
        <v>46237.2083333333</v>
      </c>
      <c r="J14" s="63" t="n">
        <v>4</v>
      </c>
      <c r="K14" s="63"/>
      <c r="L14" s="64" t="n">
        <v>1</v>
      </c>
      <c r="M14" s="61" t="s">
        <v>135</v>
      </c>
    </row>
    <row r="15" customFormat="false" ht="30" hidden="false" customHeight="true" outlineLevel="0" collapsed="false">
      <c r="A15" s="52" t="s">
        <v>90</v>
      </c>
      <c r="B15" s="53" t="s">
        <v>41</v>
      </c>
      <c r="C15" s="65" t="s">
        <v>42</v>
      </c>
      <c r="D15" s="55" t="s">
        <v>136</v>
      </c>
      <c r="E15" s="53" t="s">
        <v>40</v>
      </c>
      <c r="F15" s="55" t="s">
        <v>81</v>
      </c>
      <c r="G15" s="53" t="s">
        <v>27</v>
      </c>
      <c r="H15" s="56" t="n">
        <v>46248.2083333333</v>
      </c>
      <c r="I15" s="56" t="n">
        <v>46253.2083333333</v>
      </c>
      <c r="J15" s="57" t="n">
        <v>20</v>
      </c>
      <c r="K15" s="57"/>
      <c r="L15" s="58" t="n">
        <v>0</v>
      </c>
      <c r="M15" s="55" t="s">
        <v>135</v>
      </c>
    </row>
    <row r="16" customFormat="false" ht="30" hidden="false" customHeight="true" outlineLevel="0" collapsed="false">
      <c r="A16" s="59" t="s">
        <v>91</v>
      </c>
      <c r="B16" s="60" t="s">
        <v>41</v>
      </c>
      <c r="C16" s="65" t="s">
        <v>42</v>
      </c>
      <c r="D16" s="61" t="s">
        <v>136</v>
      </c>
      <c r="E16" s="60" t="s">
        <v>40</v>
      </c>
      <c r="F16" s="61" t="s">
        <v>81</v>
      </c>
      <c r="G16" s="60" t="s">
        <v>29</v>
      </c>
      <c r="H16" s="62" t="n">
        <v>46251.2083333333</v>
      </c>
      <c r="I16" s="62" t="n">
        <v>46254.2083333333</v>
      </c>
      <c r="J16" s="63" t="n">
        <v>20</v>
      </c>
      <c r="K16" s="63"/>
      <c r="L16" s="64" t="n">
        <v>0</v>
      </c>
      <c r="M16" s="61" t="s">
        <v>135</v>
      </c>
    </row>
    <row r="17" customFormat="false" ht="30" hidden="false" customHeight="true" outlineLevel="0" collapsed="false">
      <c r="A17" s="52" t="s">
        <v>92</v>
      </c>
      <c r="B17" s="53" t="s">
        <v>41</v>
      </c>
      <c r="C17" s="65" t="s">
        <v>42</v>
      </c>
      <c r="D17" s="55" t="s">
        <v>136</v>
      </c>
      <c r="E17" s="53" t="s">
        <v>40</v>
      </c>
      <c r="F17" s="55" t="s">
        <v>81</v>
      </c>
      <c r="G17" s="53" t="s">
        <v>25</v>
      </c>
      <c r="H17" s="56" t="n">
        <v>46252.2083333333</v>
      </c>
      <c r="I17" s="56" t="n">
        <v>46255.2083333333</v>
      </c>
      <c r="J17" s="57" t="n">
        <v>20</v>
      </c>
      <c r="K17" s="57"/>
      <c r="L17" s="58" t="n">
        <v>0</v>
      </c>
      <c r="M17" s="55" t="s">
        <v>137</v>
      </c>
    </row>
    <row r="18" customFormat="false" ht="30" hidden="false" customHeight="true" outlineLevel="0" collapsed="false">
      <c r="A18" s="59" t="s">
        <v>93</v>
      </c>
      <c r="B18" s="60" t="s">
        <v>41</v>
      </c>
      <c r="C18" s="66" t="s">
        <v>39</v>
      </c>
      <c r="D18" s="61" t="s">
        <v>136</v>
      </c>
      <c r="E18" s="60" t="s">
        <v>40</v>
      </c>
      <c r="F18" s="61" t="s">
        <v>138</v>
      </c>
      <c r="G18" s="60" t="s">
        <v>25</v>
      </c>
      <c r="H18" s="62" t="n">
        <v>46268.2083333333</v>
      </c>
      <c r="I18" s="62" t="n">
        <v>46272.2083333333</v>
      </c>
      <c r="J18" s="63" t="n">
        <v>13</v>
      </c>
      <c r="K18" s="63"/>
      <c r="L18" s="64" t="n">
        <v>0.4</v>
      </c>
      <c r="M18" s="61" t="s">
        <v>139</v>
      </c>
    </row>
    <row r="19" customFormat="false" ht="30" hidden="false" customHeight="true" outlineLevel="0" collapsed="false">
      <c r="A19" s="52" t="s">
        <v>94</v>
      </c>
      <c r="B19" s="53" t="s">
        <v>41</v>
      </c>
      <c r="C19" s="65" t="s">
        <v>42</v>
      </c>
      <c r="D19" s="55" t="s">
        <v>136</v>
      </c>
      <c r="E19" s="53" t="s">
        <v>37</v>
      </c>
      <c r="F19" s="55" t="s">
        <v>81</v>
      </c>
      <c r="G19" s="53" t="s">
        <v>29</v>
      </c>
      <c r="H19" s="56" t="n">
        <v>46267.2083333333</v>
      </c>
      <c r="I19" s="56" t="n">
        <v>46273.2083333333</v>
      </c>
      <c r="J19" s="57" t="n">
        <v>25</v>
      </c>
      <c r="K19" s="57"/>
      <c r="L19" s="58" t="n">
        <v>0</v>
      </c>
      <c r="M19" s="55" t="s">
        <v>140</v>
      </c>
    </row>
    <row r="20" customFormat="false" ht="30" hidden="false" customHeight="true" outlineLevel="0" collapsed="false">
      <c r="A20" s="59" t="s">
        <v>95</v>
      </c>
      <c r="B20" s="60" t="s">
        <v>41</v>
      </c>
      <c r="C20" s="65" t="s">
        <v>42</v>
      </c>
      <c r="D20" s="61" t="s">
        <v>141</v>
      </c>
      <c r="E20" s="60" t="s">
        <v>40</v>
      </c>
      <c r="F20" s="61" t="s">
        <v>81</v>
      </c>
      <c r="G20" s="60" t="s">
        <v>23</v>
      </c>
      <c r="H20" s="62" t="n">
        <v>46255.2083333333</v>
      </c>
      <c r="I20" s="62" t="n">
        <v>46259.2083333333</v>
      </c>
      <c r="J20" s="63" t="n">
        <v>18</v>
      </c>
      <c r="K20" s="63"/>
      <c r="L20" s="64" t="n">
        <v>0</v>
      </c>
      <c r="M20" s="61" t="s">
        <v>142</v>
      </c>
    </row>
    <row r="21" customFormat="false" ht="30" hidden="false" customHeight="true" outlineLevel="0" collapsed="false">
      <c r="A21" s="52" t="s">
        <v>96</v>
      </c>
      <c r="B21" s="53" t="s">
        <v>41</v>
      </c>
      <c r="C21" s="65" t="s">
        <v>42</v>
      </c>
      <c r="D21" s="55" t="s">
        <v>143</v>
      </c>
      <c r="E21" s="53" t="s">
        <v>37</v>
      </c>
      <c r="F21" s="55" t="s">
        <v>81</v>
      </c>
      <c r="G21" s="53" t="s">
        <v>23</v>
      </c>
      <c r="H21" s="56" t="n">
        <v>46267.2083333333</v>
      </c>
      <c r="I21" s="56" t="n">
        <v>46275.2083333333</v>
      </c>
      <c r="J21" s="57" t="n">
        <v>40</v>
      </c>
      <c r="K21" s="57"/>
      <c r="L21" s="58" t="n">
        <v>0</v>
      </c>
      <c r="M21" s="55" t="s">
        <v>144</v>
      </c>
    </row>
    <row r="22" customFormat="false" ht="30" hidden="false" customHeight="true" outlineLevel="0" collapsed="false">
      <c r="A22" s="59" t="s">
        <v>97</v>
      </c>
      <c r="B22" s="60" t="s">
        <v>41</v>
      </c>
      <c r="C22" s="65" t="s">
        <v>42</v>
      </c>
      <c r="D22" s="61" t="s">
        <v>136</v>
      </c>
      <c r="E22" s="60" t="s">
        <v>40</v>
      </c>
      <c r="F22" s="61" t="s">
        <v>81</v>
      </c>
      <c r="G22" s="60" t="s">
        <v>27</v>
      </c>
      <c r="H22" s="62" t="n">
        <v>46255.2083333333</v>
      </c>
      <c r="I22" s="62" t="n">
        <v>46260.2083333333</v>
      </c>
      <c r="J22" s="63" t="n">
        <v>20</v>
      </c>
      <c r="K22" s="63"/>
      <c r="L22" s="64" t="n">
        <v>0</v>
      </c>
      <c r="M22" s="61" t="s">
        <v>145</v>
      </c>
    </row>
    <row r="23" customFormat="false" ht="30" hidden="false" customHeight="true" outlineLevel="0" collapsed="false">
      <c r="A23" s="52" t="s">
        <v>98</v>
      </c>
      <c r="B23" s="53" t="s">
        <v>41</v>
      </c>
      <c r="C23" s="65" t="s">
        <v>42</v>
      </c>
      <c r="D23" s="55" t="s">
        <v>146</v>
      </c>
      <c r="E23" s="53" t="s">
        <v>40</v>
      </c>
      <c r="F23" s="55" t="s">
        <v>80</v>
      </c>
      <c r="G23" s="53" t="s">
        <v>29</v>
      </c>
      <c r="H23" s="56" t="n">
        <v>46239.2083333333</v>
      </c>
      <c r="I23" s="56" t="n">
        <v>46244.2083333333</v>
      </c>
      <c r="J23" s="57" t="n">
        <v>20</v>
      </c>
      <c r="K23" s="57"/>
      <c r="L23" s="58" t="n">
        <v>0</v>
      </c>
      <c r="M23" s="55" t="s">
        <v>147</v>
      </c>
    </row>
    <row r="24" customFormat="false" ht="30" hidden="false" customHeight="true" outlineLevel="0" collapsed="false">
      <c r="A24" s="59" t="s">
        <v>99</v>
      </c>
      <c r="B24" s="60" t="s">
        <v>44</v>
      </c>
      <c r="C24" s="67" t="s">
        <v>45</v>
      </c>
      <c r="D24" s="61" t="s">
        <v>148</v>
      </c>
      <c r="E24" s="60" t="s">
        <v>37</v>
      </c>
      <c r="F24" s="61" t="s">
        <v>86</v>
      </c>
      <c r="G24" s="60" t="s">
        <v>29</v>
      </c>
      <c r="H24" s="62" t="n">
        <v>46295.2083333333</v>
      </c>
      <c r="I24" s="62" t="n">
        <v>46296.2083333333</v>
      </c>
      <c r="J24" s="63" t="n">
        <v>10</v>
      </c>
      <c r="K24" s="63"/>
      <c r="L24" s="64" t="n">
        <v>0</v>
      </c>
      <c r="M24" s="61" t="s">
        <v>149</v>
      </c>
    </row>
    <row r="25" customFormat="false" ht="30" hidden="false" customHeight="true" outlineLevel="0" collapsed="false">
      <c r="A25" s="52" t="s">
        <v>100</v>
      </c>
      <c r="B25" s="53" t="s">
        <v>41</v>
      </c>
      <c r="C25" s="65" t="s">
        <v>42</v>
      </c>
      <c r="D25" s="55" t="s">
        <v>150</v>
      </c>
      <c r="E25" s="53" t="s">
        <v>37</v>
      </c>
      <c r="F25" s="55" t="s">
        <v>81</v>
      </c>
      <c r="G25" s="53" t="s">
        <v>25</v>
      </c>
      <c r="H25" s="56" t="n">
        <v>46246.2083333333</v>
      </c>
      <c r="I25" s="56" t="n">
        <v>46248.2083333333</v>
      </c>
      <c r="J25" s="57" t="n">
        <v>15</v>
      </c>
      <c r="K25" s="57"/>
      <c r="L25" s="58" t="n">
        <v>0</v>
      </c>
      <c r="M25" s="55" t="s">
        <v>151</v>
      </c>
    </row>
    <row r="26" customFormat="false" ht="30" hidden="false" customHeight="true" outlineLevel="0" collapsed="false">
      <c r="A26" s="59" t="s">
        <v>101</v>
      </c>
      <c r="B26" s="60" t="s">
        <v>41</v>
      </c>
      <c r="C26" s="65" t="s">
        <v>42</v>
      </c>
      <c r="D26" s="61" t="s">
        <v>152</v>
      </c>
      <c r="E26" s="60" t="s">
        <v>40</v>
      </c>
      <c r="F26" s="61" t="s">
        <v>153</v>
      </c>
      <c r="G26" s="60" t="s">
        <v>29</v>
      </c>
      <c r="H26" s="62" t="n">
        <v>46280.2083333333</v>
      </c>
      <c r="I26" s="62" t="n">
        <v>46283.2083333333</v>
      </c>
      <c r="J26" s="63" t="n">
        <v>20</v>
      </c>
      <c r="K26" s="63"/>
      <c r="L26" s="64" t="n">
        <v>0</v>
      </c>
      <c r="M26" s="61" t="s">
        <v>154</v>
      </c>
    </row>
    <row r="27" customFormat="false" ht="15" hidden="false" customHeight="false" outlineLevel="0" collapsed="false">
      <c r="H27" s="68"/>
      <c r="I27" s="68"/>
      <c r="L27" s="69"/>
    </row>
    <row r="28" customFormat="false" ht="15" hidden="false" customHeight="false" outlineLevel="0" collapsed="false">
      <c r="A28" s="70" t="s">
        <v>155</v>
      </c>
      <c r="B28" s="70"/>
      <c r="C28" s="70"/>
      <c r="D28" s="70"/>
      <c r="E28" s="70"/>
      <c r="F28" s="70"/>
      <c r="G28" s="70"/>
      <c r="H28" s="70"/>
      <c r="I28" s="70"/>
      <c r="J28" s="71" t="n">
        <f aca="false">SUM(J5:J26)</f>
        <v>296</v>
      </c>
      <c r="K28" s="71" t="n">
        <f aca="false">SUM(K5:K26)</f>
        <v>0</v>
      </c>
      <c r="L28" s="72" t="n">
        <f aca="false">IFERROR(SUMPRODUCT(J5:J26,L5:L26)/SUM(J5:J26),0)</f>
        <v>0.203378378378378</v>
      </c>
    </row>
    <row r="29" customFormat="false" ht="15" hidden="false" customHeight="false" outlineLevel="0" collapsed="false">
      <c r="H29" s="68"/>
      <c r="I29" s="68"/>
      <c r="L29" s="69"/>
    </row>
    <row r="30" customFormat="false" ht="15" hidden="false" customHeight="false" outlineLevel="0" collapsed="false">
      <c r="H30" s="68"/>
      <c r="I30" s="68"/>
      <c r="L30" s="69"/>
    </row>
    <row r="31" customFormat="false" ht="15" hidden="false" customHeight="false" outlineLevel="0" collapsed="false">
      <c r="H31" s="68"/>
      <c r="I31" s="68"/>
      <c r="L31" s="69"/>
    </row>
    <row r="32" customFormat="false" ht="15" hidden="false" customHeight="false" outlineLevel="0" collapsed="false">
      <c r="H32" s="68"/>
      <c r="I32" s="68"/>
      <c r="L32" s="69"/>
    </row>
    <row r="33" customFormat="false" ht="15" hidden="false" customHeight="false" outlineLevel="0" collapsed="false">
      <c r="H33" s="68"/>
      <c r="I33" s="68"/>
      <c r="L33" s="69"/>
    </row>
    <row r="34" customFormat="false" ht="15" hidden="false" customHeight="false" outlineLevel="0" collapsed="false">
      <c r="H34" s="68"/>
      <c r="I34" s="68"/>
      <c r="L34" s="69"/>
    </row>
    <row r="35" customFormat="false" ht="15" hidden="false" customHeight="false" outlineLevel="0" collapsed="false">
      <c r="H35" s="68"/>
      <c r="I35" s="68"/>
      <c r="L35" s="69"/>
    </row>
    <row r="36" customFormat="false" ht="15" hidden="false" customHeight="false" outlineLevel="0" collapsed="false">
      <c r="H36" s="68"/>
      <c r="I36" s="68"/>
      <c r="L36" s="69"/>
    </row>
    <row r="37" customFormat="false" ht="15" hidden="false" customHeight="false" outlineLevel="0" collapsed="false">
      <c r="H37" s="68"/>
      <c r="I37" s="68"/>
      <c r="L37" s="69"/>
    </row>
    <row r="38" customFormat="false" ht="15" hidden="false" customHeight="false" outlineLevel="0" collapsed="false">
      <c r="H38" s="68"/>
      <c r="I38" s="68"/>
      <c r="L38" s="69"/>
    </row>
    <row r="39" customFormat="false" ht="15" hidden="false" customHeight="false" outlineLevel="0" collapsed="false">
      <c r="H39" s="68"/>
      <c r="I39" s="68"/>
      <c r="L39" s="69"/>
    </row>
    <row r="40" customFormat="false" ht="15" hidden="false" customHeight="false" outlineLevel="0" collapsed="false">
      <c r="H40" s="68"/>
      <c r="I40" s="68"/>
      <c r="L40" s="69"/>
    </row>
    <row r="41" customFormat="false" ht="15" hidden="false" customHeight="false" outlineLevel="0" collapsed="false">
      <c r="H41" s="68"/>
      <c r="I41" s="68"/>
      <c r="L41" s="69"/>
    </row>
    <row r="42" customFormat="false" ht="15" hidden="false" customHeight="false" outlineLevel="0" collapsed="false">
      <c r="H42" s="68"/>
      <c r="I42" s="68"/>
      <c r="L42" s="69"/>
    </row>
    <row r="43" customFormat="false" ht="15" hidden="false" customHeight="false" outlineLevel="0" collapsed="false">
      <c r="H43" s="68"/>
      <c r="I43" s="68"/>
      <c r="L43" s="69"/>
    </row>
    <row r="44" customFormat="false" ht="15" hidden="false" customHeight="false" outlineLevel="0" collapsed="false">
      <c r="H44" s="68"/>
      <c r="I44" s="68"/>
      <c r="L44" s="69"/>
    </row>
    <row r="45" customFormat="false" ht="15" hidden="false" customHeight="false" outlineLevel="0" collapsed="false">
      <c r="H45" s="68"/>
      <c r="I45" s="68"/>
      <c r="L45" s="69"/>
    </row>
    <row r="46" customFormat="false" ht="15" hidden="false" customHeight="false" outlineLevel="0" collapsed="false">
      <c r="H46" s="68"/>
      <c r="I46" s="68"/>
      <c r="L46" s="69"/>
    </row>
    <row r="47" customFormat="false" ht="15" hidden="false" customHeight="false" outlineLevel="0" collapsed="false">
      <c r="H47" s="68"/>
      <c r="I47" s="68"/>
      <c r="L47" s="69"/>
    </row>
    <row r="48" customFormat="false" ht="15" hidden="false" customHeight="false" outlineLevel="0" collapsed="false">
      <c r="H48" s="68"/>
      <c r="I48" s="68"/>
      <c r="L48" s="69"/>
    </row>
    <row r="49" customFormat="false" ht="15" hidden="false" customHeight="false" outlineLevel="0" collapsed="false">
      <c r="H49" s="68"/>
      <c r="I49" s="68"/>
      <c r="L49" s="69"/>
    </row>
    <row r="50" customFormat="false" ht="15" hidden="false" customHeight="false" outlineLevel="0" collapsed="false">
      <c r="H50" s="68"/>
      <c r="I50" s="68"/>
      <c r="L50" s="69"/>
    </row>
    <row r="51" customFormat="false" ht="15" hidden="false" customHeight="false" outlineLevel="0" collapsed="false">
      <c r="H51" s="68"/>
      <c r="I51" s="68"/>
      <c r="L51" s="69"/>
    </row>
    <row r="52" customFormat="false" ht="15" hidden="false" customHeight="false" outlineLevel="0" collapsed="false">
      <c r="H52" s="68"/>
      <c r="I52" s="68"/>
      <c r="L52" s="69"/>
    </row>
    <row r="53" customFormat="false" ht="15" hidden="false" customHeight="false" outlineLevel="0" collapsed="false">
      <c r="H53" s="68"/>
      <c r="I53" s="68"/>
      <c r="L53" s="69"/>
    </row>
    <row r="54" customFormat="false" ht="15" hidden="false" customHeight="false" outlineLevel="0" collapsed="false">
      <c r="H54" s="68"/>
      <c r="I54" s="68"/>
      <c r="L54" s="69"/>
    </row>
    <row r="55" customFormat="false" ht="15" hidden="false" customHeight="false" outlineLevel="0" collapsed="false">
      <c r="H55" s="68"/>
      <c r="I55" s="68"/>
      <c r="L55" s="69"/>
    </row>
    <row r="56" customFormat="false" ht="15" hidden="false" customHeight="false" outlineLevel="0" collapsed="false">
      <c r="H56" s="68"/>
      <c r="I56" s="68"/>
      <c r="L56" s="69"/>
    </row>
    <row r="57" customFormat="false" ht="15" hidden="false" customHeight="false" outlineLevel="0" collapsed="false">
      <c r="H57" s="68"/>
      <c r="I57" s="68"/>
      <c r="L57" s="69"/>
    </row>
    <row r="58" customFormat="false" ht="15" hidden="false" customHeight="false" outlineLevel="0" collapsed="false">
      <c r="H58" s="68"/>
      <c r="I58" s="68"/>
      <c r="L58" s="69"/>
    </row>
    <row r="59" customFormat="false" ht="15" hidden="false" customHeight="false" outlineLevel="0" collapsed="false">
      <c r="H59" s="68"/>
      <c r="I59" s="68"/>
      <c r="L59" s="69"/>
    </row>
    <row r="60" customFormat="false" ht="15" hidden="false" customHeight="false" outlineLevel="0" collapsed="false">
      <c r="H60" s="68"/>
      <c r="I60" s="68"/>
      <c r="L60" s="69"/>
    </row>
    <row r="61" customFormat="false" ht="15" hidden="false" customHeight="false" outlineLevel="0" collapsed="false">
      <c r="H61" s="68"/>
      <c r="I61" s="68"/>
      <c r="L61" s="69"/>
    </row>
    <row r="62" customFormat="false" ht="15" hidden="false" customHeight="false" outlineLevel="0" collapsed="false">
      <c r="H62" s="68"/>
      <c r="I62" s="68"/>
      <c r="L62" s="69"/>
    </row>
    <row r="63" customFormat="false" ht="15" hidden="false" customHeight="false" outlineLevel="0" collapsed="false">
      <c r="H63" s="68"/>
      <c r="I63" s="68"/>
      <c r="L63" s="69"/>
    </row>
    <row r="64" customFormat="false" ht="15" hidden="false" customHeight="false" outlineLevel="0" collapsed="false">
      <c r="H64" s="68"/>
      <c r="I64" s="68"/>
      <c r="L64" s="69"/>
    </row>
    <row r="65" customFormat="false" ht="15" hidden="false" customHeight="false" outlineLevel="0" collapsed="false">
      <c r="H65" s="68"/>
      <c r="I65" s="68"/>
      <c r="L65" s="69"/>
    </row>
    <row r="66" customFormat="false" ht="15" hidden="false" customHeight="false" outlineLevel="0" collapsed="false">
      <c r="H66" s="68"/>
      <c r="I66" s="68"/>
      <c r="L66" s="69"/>
    </row>
    <row r="67" customFormat="false" ht="15" hidden="false" customHeight="false" outlineLevel="0" collapsed="false">
      <c r="H67" s="68"/>
      <c r="I67" s="68"/>
      <c r="L67" s="69"/>
    </row>
    <row r="68" customFormat="false" ht="15" hidden="false" customHeight="false" outlineLevel="0" collapsed="false">
      <c r="H68" s="68"/>
      <c r="I68" s="68"/>
      <c r="L68" s="69"/>
    </row>
    <row r="69" customFormat="false" ht="15" hidden="false" customHeight="false" outlineLevel="0" collapsed="false">
      <c r="H69" s="68"/>
      <c r="I69" s="68"/>
      <c r="L69" s="69"/>
    </row>
    <row r="70" customFormat="false" ht="15" hidden="false" customHeight="false" outlineLevel="0" collapsed="false">
      <c r="H70" s="68"/>
      <c r="I70" s="68"/>
      <c r="L70" s="69"/>
    </row>
    <row r="71" customFormat="false" ht="15" hidden="false" customHeight="false" outlineLevel="0" collapsed="false">
      <c r="H71" s="68"/>
      <c r="I71" s="68"/>
      <c r="L71" s="69"/>
    </row>
    <row r="72" customFormat="false" ht="15" hidden="false" customHeight="false" outlineLevel="0" collapsed="false">
      <c r="H72" s="68"/>
      <c r="I72" s="68"/>
      <c r="L72" s="69"/>
    </row>
    <row r="73" customFormat="false" ht="15" hidden="false" customHeight="false" outlineLevel="0" collapsed="false">
      <c r="H73" s="68"/>
      <c r="I73" s="68"/>
      <c r="L73" s="69"/>
    </row>
    <row r="74" customFormat="false" ht="15" hidden="false" customHeight="false" outlineLevel="0" collapsed="false">
      <c r="H74" s="68"/>
      <c r="I74" s="68"/>
      <c r="L74" s="69"/>
    </row>
    <row r="75" customFormat="false" ht="15" hidden="false" customHeight="false" outlineLevel="0" collapsed="false">
      <c r="H75" s="68"/>
      <c r="I75" s="68"/>
      <c r="L75" s="69"/>
    </row>
    <row r="76" customFormat="false" ht="15" hidden="false" customHeight="false" outlineLevel="0" collapsed="false">
      <c r="H76" s="68"/>
      <c r="I76" s="68"/>
      <c r="L76" s="69"/>
    </row>
    <row r="77" customFormat="false" ht="15" hidden="false" customHeight="false" outlineLevel="0" collapsed="false">
      <c r="H77" s="68"/>
      <c r="I77" s="68"/>
      <c r="L77" s="69"/>
    </row>
    <row r="78" customFormat="false" ht="15" hidden="false" customHeight="false" outlineLevel="0" collapsed="false">
      <c r="H78" s="68"/>
      <c r="I78" s="68"/>
      <c r="L78" s="69"/>
    </row>
    <row r="79" customFormat="false" ht="15" hidden="false" customHeight="false" outlineLevel="0" collapsed="false">
      <c r="H79" s="68"/>
      <c r="I79" s="68"/>
      <c r="L79" s="69"/>
    </row>
    <row r="80" customFormat="false" ht="15" hidden="false" customHeight="false" outlineLevel="0" collapsed="false">
      <c r="H80" s="68"/>
      <c r="I80" s="68"/>
      <c r="L80" s="69"/>
    </row>
    <row r="81" customFormat="false" ht="15" hidden="false" customHeight="false" outlineLevel="0" collapsed="false">
      <c r="H81" s="68"/>
      <c r="I81" s="68"/>
      <c r="L81" s="69"/>
    </row>
    <row r="82" customFormat="false" ht="15" hidden="false" customHeight="false" outlineLevel="0" collapsed="false">
      <c r="H82" s="68"/>
      <c r="I82" s="68"/>
      <c r="L82" s="69"/>
    </row>
    <row r="83" customFormat="false" ht="15" hidden="false" customHeight="false" outlineLevel="0" collapsed="false">
      <c r="H83" s="68"/>
      <c r="I83" s="68"/>
      <c r="L83" s="69"/>
    </row>
    <row r="84" customFormat="false" ht="15" hidden="false" customHeight="false" outlineLevel="0" collapsed="false">
      <c r="H84" s="68"/>
      <c r="I84" s="68"/>
      <c r="L84" s="69"/>
    </row>
    <row r="85" customFormat="false" ht="15" hidden="false" customHeight="false" outlineLevel="0" collapsed="false">
      <c r="H85" s="68"/>
      <c r="I85" s="68"/>
      <c r="L85" s="69"/>
    </row>
    <row r="86" customFormat="false" ht="15" hidden="false" customHeight="false" outlineLevel="0" collapsed="false">
      <c r="H86" s="68"/>
      <c r="I86" s="68"/>
      <c r="L86" s="69"/>
    </row>
    <row r="87" customFormat="false" ht="15" hidden="false" customHeight="false" outlineLevel="0" collapsed="false">
      <c r="H87" s="68"/>
      <c r="I87" s="68"/>
      <c r="L87" s="69"/>
    </row>
    <row r="88" customFormat="false" ht="15" hidden="false" customHeight="false" outlineLevel="0" collapsed="false">
      <c r="H88" s="68"/>
      <c r="I88" s="68"/>
      <c r="L88" s="69"/>
    </row>
    <row r="89" customFormat="false" ht="15" hidden="false" customHeight="false" outlineLevel="0" collapsed="false">
      <c r="H89" s="68"/>
      <c r="I89" s="68"/>
      <c r="L89" s="69"/>
    </row>
    <row r="90" customFormat="false" ht="15" hidden="false" customHeight="false" outlineLevel="0" collapsed="false">
      <c r="H90" s="68"/>
      <c r="I90" s="68"/>
      <c r="L90" s="69"/>
    </row>
    <row r="91" customFormat="false" ht="15" hidden="false" customHeight="false" outlineLevel="0" collapsed="false">
      <c r="H91" s="68"/>
      <c r="I91" s="68"/>
      <c r="L91" s="69"/>
    </row>
    <row r="92" customFormat="false" ht="15" hidden="false" customHeight="false" outlineLevel="0" collapsed="false">
      <c r="H92" s="68"/>
      <c r="I92" s="68"/>
      <c r="L92" s="69"/>
    </row>
    <row r="93" customFormat="false" ht="15" hidden="false" customHeight="false" outlineLevel="0" collapsed="false">
      <c r="H93" s="68"/>
      <c r="I93" s="68"/>
      <c r="L93" s="69"/>
    </row>
    <row r="94" customFormat="false" ht="15" hidden="false" customHeight="false" outlineLevel="0" collapsed="false">
      <c r="H94" s="68"/>
      <c r="I94" s="68"/>
      <c r="L94" s="69"/>
    </row>
    <row r="95" customFormat="false" ht="15" hidden="false" customHeight="false" outlineLevel="0" collapsed="false">
      <c r="H95" s="68"/>
      <c r="I95" s="68"/>
      <c r="L95" s="69"/>
    </row>
    <row r="96" customFormat="false" ht="15" hidden="false" customHeight="false" outlineLevel="0" collapsed="false">
      <c r="H96" s="68"/>
      <c r="I96" s="68"/>
      <c r="L96" s="69"/>
    </row>
    <row r="97" customFormat="false" ht="15" hidden="false" customHeight="false" outlineLevel="0" collapsed="false">
      <c r="H97" s="68"/>
      <c r="I97" s="68"/>
      <c r="L97" s="69"/>
    </row>
    <row r="98" customFormat="false" ht="15" hidden="false" customHeight="false" outlineLevel="0" collapsed="false">
      <c r="H98" s="68"/>
      <c r="I98" s="68"/>
      <c r="L98" s="69"/>
    </row>
    <row r="99" customFormat="false" ht="15" hidden="false" customHeight="false" outlineLevel="0" collapsed="false">
      <c r="H99" s="68"/>
      <c r="I99" s="68"/>
      <c r="L99" s="69"/>
    </row>
    <row r="100" customFormat="false" ht="15" hidden="false" customHeight="false" outlineLevel="0" collapsed="false">
      <c r="H100" s="68"/>
      <c r="I100" s="68"/>
      <c r="L100" s="69"/>
    </row>
    <row r="101" customFormat="false" ht="15" hidden="false" customHeight="false" outlineLevel="0" collapsed="false">
      <c r="H101" s="68"/>
      <c r="I101" s="68"/>
      <c r="L101" s="69"/>
    </row>
    <row r="102" customFormat="false" ht="15" hidden="false" customHeight="false" outlineLevel="0" collapsed="false">
      <c r="H102" s="68"/>
      <c r="I102" s="68"/>
      <c r="L102" s="69"/>
    </row>
    <row r="103" customFormat="false" ht="15" hidden="false" customHeight="false" outlineLevel="0" collapsed="false">
      <c r="H103" s="68"/>
      <c r="I103" s="68"/>
      <c r="L103" s="69"/>
    </row>
    <row r="104" customFormat="false" ht="15" hidden="false" customHeight="false" outlineLevel="0" collapsed="false">
      <c r="H104" s="68"/>
      <c r="I104" s="68"/>
      <c r="L104" s="69"/>
    </row>
    <row r="105" customFormat="false" ht="15" hidden="false" customHeight="false" outlineLevel="0" collapsed="false">
      <c r="H105" s="68"/>
      <c r="I105" s="68"/>
      <c r="L105" s="69"/>
    </row>
    <row r="106" customFormat="false" ht="15" hidden="false" customHeight="false" outlineLevel="0" collapsed="false">
      <c r="H106" s="68"/>
      <c r="I106" s="68"/>
      <c r="L106" s="69"/>
    </row>
    <row r="107" customFormat="false" ht="15" hidden="false" customHeight="false" outlineLevel="0" collapsed="false">
      <c r="H107" s="68"/>
      <c r="I107" s="68"/>
      <c r="L107" s="69"/>
    </row>
    <row r="108" customFormat="false" ht="15" hidden="false" customHeight="false" outlineLevel="0" collapsed="false">
      <c r="H108" s="68"/>
      <c r="I108" s="68"/>
      <c r="L108" s="69"/>
    </row>
    <row r="109" customFormat="false" ht="15" hidden="false" customHeight="false" outlineLevel="0" collapsed="false">
      <c r="H109" s="68"/>
      <c r="I109" s="68"/>
      <c r="L109" s="69"/>
    </row>
    <row r="110" customFormat="false" ht="15" hidden="false" customHeight="false" outlineLevel="0" collapsed="false">
      <c r="H110" s="68"/>
      <c r="I110" s="68"/>
      <c r="L110" s="69"/>
    </row>
    <row r="111" customFormat="false" ht="15" hidden="false" customHeight="false" outlineLevel="0" collapsed="false">
      <c r="H111" s="68"/>
      <c r="I111" s="68"/>
      <c r="L111" s="69"/>
    </row>
    <row r="112" customFormat="false" ht="15" hidden="false" customHeight="false" outlineLevel="0" collapsed="false">
      <c r="H112" s="68"/>
      <c r="I112" s="68"/>
      <c r="L112" s="69"/>
    </row>
    <row r="113" customFormat="false" ht="15" hidden="false" customHeight="false" outlineLevel="0" collapsed="false">
      <c r="H113" s="68"/>
      <c r="I113" s="68"/>
      <c r="L113" s="69"/>
    </row>
    <row r="114" customFormat="false" ht="15" hidden="false" customHeight="false" outlineLevel="0" collapsed="false">
      <c r="H114" s="68"/>
      <c r="I114" s="68"/>
      <c r="L114" s="69"/>
    </row>
    <row r="115" customFormat="false" ht="15" hidden="false" customHeight="false" outlineLevel="0" collapsed="false">
      <c r="H115" s="68"/>
      <c r="I115" s="68"/>
      <c r="L115" s="69"/>
    </row>
    <row r="116" customFormat="false" ht="15" hidden="false" customHeight="false" outlineLevel="0" collapsed="false">
      <c r="H116" s="68"/>
      <c r="I116" s="68"/>
      <c r="L116" s="69"/>
    </row>
    <row r="117" customFormat="false" ht="15" hidden="false" customHeight="false" outlineLevel="0" collapsed="false">
      <c r="H117" s="68"/>
      <c r="I117" s="68"/>
      <c r="L117" s="69"/>
    </row>
    <row r="118" customFormat="false" ht="15" hidden="false" customHeight="false" outlineLevel="0" collapsed="false">
      <c r="H118" s="68"/>
      <c r="I118" s="68"/>
      <c r="L118" s="69"/>
    </row>
    <row r="119" customFormat="false" ht="15" hidden="false" customHeight="false" outlineLevel="0" collapsed="false">
      <c r="H119" s="68"/>
      <c r="I119" s="68"/>
      <c r="L119" s="69"/>
    </row>
    <row r="120" customFormat="false" ht="15" hidden="false" customHeight="false" outlineLevel="0" collapsed="false">
      <c r="H120" s="68"/>
      <c r="I120" s="68"/>
      <c r="L120" s="69"/>
    </row>
    <row r="121" customFormat="false" ht="15" hidden="false" customHeight="false" outlineLevel="0" collapsed="false">
      <c r="H121" s="68"/>
      <c r="I121" s="68"/>
      <c r="L121" s="69"/>
    </row>
    <row r="122" customFormat="false" ht="15" hidden="false" customHeight="false" outlineLevel="0" collapsed="false">
      <c r="H122" s="68"/>
      <c r="I122" s="68"/>
      <c r="L122" s="69"/>
    </row>
    <row r="123" customFormat="false" ht="15" hidden="false" customHeight="false" outlineLevel="0" collapsed="false">
      <c r="H123" s="68"/>
      <c r="I123" s="68"/>
      <c r="L123" s="69"/>
    </row>
    <row r="124" customFormat="false" ht="15" hidden="false" customHeight="false" outlineLevel="0" collapsed="false">
      <c r="H124" s="68"/>
      <c r="I124" s="68"/>
      <c r="L124" s="69"/>
    </row>
    <row r="125" customFormat="false" ht="15" hidden="false" customHeight="false" outlineLevel="0" collapsed="false">
      <c r="H125" s="68"/>
      <c r="I125" s="68"/>
      <c r="L125" s="69"/>
    </row>
    <row r="126" customFormat="false" ht="15" hidden="false" customHeight="false" outlineLevel="0" collapsed="false">
      <c r="H126" s="68"/>
      <c r="I126" s="68"/>
      <c r="L126" s="69"/>
    </row>
    <row r="127" customFormat="false" ht="15" hidden="false" customHeight="false" outlineLevel="0" collapsed="false">
      <c r="H127" s="68"/>
      <c r="I127" s="68"/>
      <c r="L127" s="69"/>
    </row>
    <row r="128" customFormat="false" ht="15" hidden="false" customHeight="false" outlineLevel="0" collapsed="false">
      <c r="H128" s="68"/>
      <c r="I128" s="68"/>
      <c r="L128" s="69"/>
    </row>
    <row r="129" customFormat="false" ht="15" hidden="false" customHeight="false" outlineLevel="0" collapsed="false">
      <c r="H129" s="68"/>
      <c r="I129" s="68"/>
      <c r="L129" s="69"/>
    </row>
    <row r="130" customFormat="false" ht="15" hidden="false" customHeight="false" outlineLevel="0" collapsed="false">
      <c r="H130" s="68"/>
      <c r="I130" s="68"/>
      <c r="L130" s="69"/>
    </row>
    <row r="131" customFormat="false" ht="15" hidden="false" customHeight="false" outlineLevel="0" collapsed="false">
      <c r="H131" s="68"/>
      <c r="I131" s="68"/>
      <c r="L131" s="69"/>
    </row>
    <row r="132" customFormat="false" ht="15" hidden="false" customHeight="false" outlineLevel="0" collapsed="false">
      <c r="H132" s="68"/>
      <c r="I132" s="68"/>
      <c r="L132" s="69"/>
    </row>
    <row r="133" customFormat="false" ht="15" hidden="false" customHeight="false" outlineLevel="0" collapsed="false">
      <c r="H133" s="68"/>
      <c r="I133" s="68"/>
      <c r="L133" s="69"/>
    </row>
    <row r="134" customFormat="false" ht="15" hidden="false" customHeight="false" outlineLevel="0" collapsed="false">
      <c r="H134" s="68"/>
      <c r="I134" s="68"/>
      <c r="L134" s="69"/>
    </row>
    <row r="135" customFormat="false" ht="15" hidden="false" customHeight="false" outlineLevel="0" collapsed="false">
      <c r="H135" s="68"/>
      <c r="I135" s="68"/>
      <c r="L135" s="69"/>
    </row>
    <row r="136" customFormat="false" ht="15" hidden="false" customHeight="false" outlineLevel="0" collapsed="false">
      <c r="H136" s="68"/>
      <c r="I136" s="68"/>
      <c r="L136" s="69"/>
    </row>
    <row r="137" customFormat="false" ht="15" hidden="false" customHeight="false" outlineLevel="0" collapsed="false">
      <c r="H137" s="68"/>
      <c r="I137" s="68"/>
      <c r="L137" s="69"/>
    </row>
    <row r="138" customFormat="false" ht="15" hidden="false" customHeight="false" outlineLevel="0" collapsed="false">
      <c r="H138" s="68"/>
      <c r="I138" s="68"/>
      <c r="L138" s="69"/>
    </row>
    <row r="139" customFormat="false" ht="15" hidden="false" customHeight="false" outlineLevel="0" collapsed="false">
      <c r="H139" s="68"/>
      <c r="I139" s="68"/>
      <c r="L139" s="69"/>
    </row>
    <row r="140" customFormat="false" ht="15" hidden="false" customHeight="false" outlineLevel="0" collapsed="false">
      <c r="H140" s="68"/>
      <c r="I140" s="68"/>
      <c r="L140" s="69"/>
    </row>
    <row r="141" customFormat="false" ht="15" hidden="false" customHeight="false" outlineLevel="0" collapsed="false">
      <c r="H141" s="68"/>
      <c r="I141" s="68"/>
      <c r="L141" s="69"/>
    </row>
    <row r="142" customFormat="false" ht="15" hidden="false" customHeight="false" outlineLevel="0" collapsed="false">
      <c r="H142" s="68"/>
      <c r="I142" s="68"/>
      <c r="L142" s="69"/>
    </row>
    <row r="143" customFormat="false" ht="15" hidden="false" customHeight="false" outlineLevel="0" collapsed="false">
      <c r="H143" s="68"/>
      <c r="I143" s="68"/>
      <c r="L143" s="69"/>
    </row>
    <row r="144" customFormat="false" ht="15" hidden="false" customHeight="false" outlineLevel="0" collapsed="false">
      <c r="H144" s="68"/>
      <c r="I144" s="68"/>
      <c r="L144" s="69"/>
    </row>
    <row r="145" customFormat="false" ht="15" hidden="false" customHeight="false" outlineLevel="0" collapsed="false">
      <c r="H145" s="68"/>
      <c r="I145" s="68"/>
      <c r="L145" s="69"/>
    </row>
    <row r="146" customFormat="false" ht="15" hidden="false" customHeight="false" outlineLevel="0" collapsed="false">
      <c r="H146" s="68"/>
      <c r="I146" s="68"/>
      <c r="L146" s="69"/>
    </row>
    <row r="147" customFormat="false" ht="15" hidden="false" customHeight="false" outlineLevel="0" collapsed="false">
      <c r="H147" s="68"/>
      <c r="I147" s="68"/>
      <c r="L147" s="69"/>
    </row>
    <row r="148" customFormat="false" ht="15" hidden="false" customHeight="false" outlineLevel="0" collapsed="false">
      <c r="H148" s="68"/>
      <c r="I148" s="68"/>
      <c r="L148" s="69"/>
    </row>
    <row r="149" customFormat="false" ht="15" hidden="false" customHeight="false" outlineLevel="0" collapsed="false">
      <c r="H149" s="68"/>
      <c r="I149" s="68"/>
      <c r="L149" s="69"/>
    </row>
    <row r="150" customFormat="false" ht="15" hidden="false" customHeight="false" outlineLevel="0" collapsed="false">
      <c r="H150" s="68"/>
      <c r="I150" s="68"/>
      <c r="L150" s="69"/>
    </row>
    <row r="151" customFormat="false" ht="15" hidden="false" customHeight="false" outlineLevel="0" collapsed="false">
      <c r="H151" s="68"/>
      <c r="I151" s="68"/>
      <c r="L151" s="69"/>
    </row>
    <row r="152" customFormat="false" ht="15" hidden="false" customHeight="false" outlineLevel="0" collapsed="false">
      <c r="H152" s="68"/>
      <c r="I152" s="68"/>
      <c r="L152" s="69"/>
    </row>
    <row r="153" customFormat="false" ht="15" hidden="false" customHeight="false" outlineLevel="0" collapsed="false">
      <c r="H153" s="68"/>
      <c r="I153" s="68"/>
      <c r="L153" s="69"/>
    </row>
    <row r="154" customFormat="false" ht="15" hidden="false" customHeight="false" outlineLevel="0" collapsed="false">
      <c r="H154" s="68"/>
      <c r="I154" s="68"/>
      <c r="L154" s="69"/>
    </row>
    <row r="155" customFormat="false" ht="15" hidden="false" customHeight="false" outlineLevel="0" collapsed="false">
      <c r="H155" s="68"/>
      <c r="I155" s="68"/>
      <c r="L155" s="69"/>
    </row>
    <row r="156" customFormat="false" ht="15" hidden="false" customHeight="false" outlineLevel="0" collapsed="false">
      <c r="H156" s="68"/>
      <c r="I156" s="68"/>
      <c r="L156" s="69"/>
    </row>
    <row r="157" customFormat="false" ht="15" hidden="false" customHeight="false" outlineLevel="0" collapsed="false">
      <c r="H157" s="68"/>
      <c r="I157" s="68"/>
      <c r="L157" s="69"/>
    </row>
    <row r="158" customFormat="false" ht="15" hidden="false" customHeight="false" outlineLevel="0" collapsed="false">
      <c r="H158" s="68"/>
      <c r="I158" s="68"/>
      <c r="L158" s="69"/>
    </row>
    <row r="159" customFormat="false" ht="15" hidden="false" customHeight="false" outlineLevel="0" collapsed="false">
      <c r="H159" s="68"/>
      <c r="I159" s="68"/>
      <c r="L159" s="69"/>
    </row>
    <row r="160" customFormat="false" ht="15" hidden="false" customHeight="false" outlineLevel="0" collapsed="false">
      <c r="H160" s="68"/>
      <c r="I160" s="68"/>
      <c r="L160" s="69"/>
    </row>
    <row r="161" customFormat="false" ht="15" hidden="false" customHeight="false" outlineLevel="0" collapsed="false">
      <c r="H161" s="68"/>
      <c r="I161" s="68"/>
      <c r="L161" s="69"/>
    </row>
    <row r="162" customFormat="false" ht="15" hidden="false" customHeight="false" outlineLevel="0" collapsed="false">
      <c r="H162" s="68"/>
      <c r="I162" s="68"/>
      <c r="L162" s="69"/>
    </row>
    <row r="163" customFormat="false" ht="15" hidden="false" customHeight="false" outlineLevel="0" collapsed="false">
      <c r="H163" s="68"/>
      <c r="I163" s="68"/>
      <c r="L163" s="69"/>
    </row>
    <row r="164" customFormat="false" ht="15" hidden="false" customHeight="false" outlineLevel="0" collapsed="false">
      <c r="H164" s="68"/>
      <c r="I164" s="68"/>
      <c r="L164" s="69"/>
    </row>
    <row r="165" customFormat="false" ht="15" hidden="false" customHeight="false" outlineLevel="0" collapsed="false">
      <c r="H165" s="68"/>
      <c r="I165" s="68"/>
      <c r="L165" s="69"/>
    </row>
    <row r="166" customFormat="false" ht="15" hidden="false" customHeight="false" outlineLevel="0" collapsed="false">
      <c r="H166" s="68"/>
      <c r="I166" s="68"/>
      <c r="L166" s="69"/>
    </row>
    <row r="167" customFormat="false" ht="15" hidden="false" customHeight="false" outlineLevel="0" collapsed="false">
      <c r="H167" s="68"/>
      <c r="I167" s="68"/>
      <c r="L167" s="69"/>
    </row>
    <row r="168" customFormat="false" ht="15" hidden="false" customHeight="false" outlineLevel="0" collapsed="false">
      <c r="H168" s="68"/>
      <c r="I168" s="68"/>
      <c r="L168" s="69"/>
    </row>
    <row r="169" customFormat="false" ht="15" hidden="false" customHeight="false" outlineLevel="0" collapsed="false">
      <c r="H169" s="68"/>
      <c r="I169" s="68"/>
      <c r="L169" s="69"/>
    </row>
    <row r="170" customFormat="false" ht="15" hidden="false" customHeight="false" outlineLevel="0" collapsed="false">
      <c r="H170" s="68"/>
      <c r="I170" s="68"/>
      <c r="L170" s="69"/>
    </row>
    <row r="171" customFormat="false" ht="15" hidden="false" customHeight="false" outlineLevel="0" collapsed="false">
      <c r="H171" s="68"/>
      <c r="I171" s="68"/>
      <c r="L171" s="69"/>
    </row>
    <row r="172" customFormat="false" ht="15" hidden="false" customHeight="false" outlineLevel="0" collapsed="false">
      <c r="H172" s="68"/>
      <c r="I172" s="68"/>
      <c r="L172" s="69"/>
    </row>
    <row r="173" customFormat="false" ht="15" hidden="false" customHeight="false" outlineLevel="0" collapsed="false">
      <c r="H173" s="68"/>
      <c r="I173" s="68"/>
      <c r="L173" s="69"/>
    </row>
    <row r="174" customFormat="false" ht="15" hidden="false" customHeight="false" outlineLevel="0" collapsed="false">
      <c r="H174" s="68"/>
      <c r="I174" s="68"/>
      <c r="L174" s="69"/>
    </row>
    <row r="175" customFormat="false" ht="15" hidden="false" customHeight="false" outlineLevel="0" collapsed="false">
      <c r="H175" s="68"/>
      <c r="I175" s="68"/>
      <c r="L175" s="69"/>
    </row>
    <row r="176" customFormat="false" ht="15" hidden="false" customHeight="false" outlineLevel="0" collapsed="false">
      <c r="H176" s="68"/>
      <c r="I176" s="68"/>
      <c r="L176" s="69"/>
    </row>
    <row r="177" customFormat="false" ht="15" hidden="false" customHeight="false" outlineLevel="0" collapsed="false">
      <c r="H177" s="68"/>
      <c r="I177" s="68"/>
      <c r="L177" s="69"/>
    </row>
    <row r="178" customFormat="false" ht="15" hidden="false" customHeight="false" outlineLevel="0" collapsed="false">
      <c r="H178" s="68"/>
      <c r="I178" s="68"/>
      <c r="L178" s="69"/>
    </row>
    <row r="179" customFormat="false" ht="15" hidden="false" customHeight="false" outlineLevel="0" collapsed="false">
      <c r="H179" s="68"/>
      <c r="I179" s="68"/>
      <c r="L179" s="69"/>
    </row>
    <row r="180" customFormat="false" ht="15" hidden="false" customHeight="false" outlineLevel="0" collapsed="false">
      <c r="H180" s="68"/>
      <c r="I180" s="68"/>
      <c r="L180" s="69"/>
    </row>
    <row r="181" customFormat="false" ht="15" hidden="false" customHeight="false" outlineLevel="0" collapsed="false">
      <c r="H181" s="68"/>
      <c r="I181" s="68"/>
      <c r="L181" s="69"/>
    </row>
    <row r="182" customFormat="false" ht="15" hidden="false" customHeight="false" outlineLevel="0" collapsed="false">
      <c r="H182" s="68"/>
      <c r="I182" s="68"/>
      <c r="L182" s="69"/>
    </row>
    <row r="183" customFormat="false" ht="15" hidden="false" customHeight="false" outlineLevel="0" collapsed="false">
      <c r="H183" s="68"/>
      <c r="I183" s="68"/>
      <c r="L183" s="69"/>
    </row>
    <row r="184" customFormat="false" ht="15" hidden="false" customHeight="false" outlineLevel="0" collapsed="false">
      <c r="H184" s="68"/>
      <c r="I184" s="68"/>
      <c r="L184" s="69"/>
    </row>
    <row r="185" customFormat="false" ht="15" hidden="false" customHeight="false" outlineLevel="0" collapsed="false">
      <c r="H185" s="68"/>
      <c r="I185" s="68"/>
      <c r="L185" s="69"/>
    </row>
    <row r="186" customFormat="false" ht="15" hidden="false" customHeight="false" outlineLevel="0" collapsed="false">
      <c r="H186" s="68"/>
      <c r="I186" s="68"/>
      <c r="L186" s="69"/>
    </row>
    <row r="187" customFormat="false" ht="15" hidden="false" customHeight="false" outlineLevel="0" collapsed="false">
      <c r="H187" s="68"/>
      <c r="I187" s="68"/>
      <c r="L187" s="69"/>
    </row>
    <row r="188" customFormat="false" ht="15" hidden="false" customHeight="false" outlineLevel="0" collapsed="false">
      <c r="H188" s="68"/>
      <c r="I188" s="68"/>
      <c r="L188" s="69"/>
    </row>
    <row r="189" customFormat="false" ht="15" hidden="false" customHeight="false" outlineLevel="0" collapsed="false">
      <c r="H189" s="68"/>
      <c r="I189" s="68"/>
      <c r="L189" s="69"/>
    </row>
    <row r="190" customFormat="false" ht="15" hidden="false" customHeight="false" outlineLevel="0" collapsed="false">
      <c r="H190" s="68"/>
      <c r="I190" s="68"/>
      <c r="L190" s="69"/>
    </row>
    <row r="191" customFormat="false" ht="15" hidden="false" customHeight="false" outlineLevel="0" collapsed="false">
      <c r="H191" s="68"/>
      <c r="I191" s="68"/>
      <c r="L191" s="69"/>
    </row>
    <row r="192" customFormat="false" ht="15" hidden="false" customHeight="false" outlineLevel="0" collapsed="false">
      <c r="H192" s="68"/>
      <c r="I192" s="68"/>
      <c r="L192" s="69"/>
    </row>
    <row r="193" customFormat="false" ht="15" hidden="false" customHeight="false" outlineLevel="0" collapsed="false">
      <c r="H193" s="68"/>
      <c r="I193" s="68"/>
      <c r="L193" s="69"/>
    </row>
    <row r="194" customFormat="false" ht="15" hidden="false" customHeight="false" outlineLevel="0" collapsed="false">
      <c r="H194" s="68"/>
      <c r="I194" s="68"/>
      <c r="L194" s="69"/>
    </row>
    <row r="195" customFormat="false" ht="15" hidden="false" customHeight="false" outlineLevel="0" collapsed="false">
      <c r="H195" s="68"/>
      <c r="I195" s="68"/>
      <c r="L195" s="69"/>
    </row>
    <row r="196" customFormat="false" ht="15" hidden="false" customHeight="false" outlineLevel="0" collapsed="false">
      <c r="H196" s="68"/>
      <c r="I196" s="68"/>
      <c r="L196" s="69"/>
    </row>
    <row r="197" customFormat="false" ht="15" hidden="false" customHeight="false" outlineLevel="0" collapsed="false">
      <c r="H197" s="68"/>
      <c r="I197" s="68"/>
      <c r="L197" s="69"/>
    </row>
    <row r="198" customFormat="false" ht="15" hidden="false" customHeight="false" outlineLevel="0" collapsed="false">
      <c r="H198" s="68"/>
      <c r="I198" s="68"/>
      <c r="L198" s="69"/>
    </row>
    <row r="199" customFormat="false" ht="15" hidden="false" customHeight="false" outlineLevel="0" collapsed="false">
      <c r="H199" s="68"/>
      <c r="I199" s="68"/>
      <c r="L199" s="69"/>
    </row>
    <row r="200" customFormat="false" ht="15" hidden="false" customHeight="false" outlineLevel="0" collapsed="false">
      <c r="H200" s="68"/>
      <c r="I200" s="68"/>
      <c r="L200" s="69"/>
    </row>
  </sheetData>
  <mergeCells count="3">
    <mergeCell ref="A1:M1"/>
    <mergeCell ref="A2:M2"/>
    <mergeCell ref="A28:I28"/>
  </mergeCells>
  <dataValidations count="5">
    <dataValidation allowBlank="true" errorStyle="stop" operator="between" showDropDown="false" showErrorMessage="false" showInputMessage="false" sqref="B5:B200" type="list">
      <formula1>"Existente,Nuevo,Optimización"</formula1>
      <formula2>0</formula2>
    </dataValidation>
    <dataValidation allowBlank="true" errorStyle="stop" operator="between" showDropDown="false" showErrorMessage="false" showInputMessage="false" sqref="C5:C200" type="list">
      <formula1>"No iniciado,En progreso,Completado,Pendiente,Bloqueado"</formula1>
      <formula2>0</formula2>
    </dataValidation>
    <dataValidation allowBlank="true" errorStyle="stop" operator="between" showDropDown="false" showErrorMessage="false" showInputMessage="false" sqref="E5:E200" type="list">
      <formula1>"Alta,Media,Baja"</formula1>
      <formula2>0</formula2>
    </dataValidation>
    <dataValidation allowBlank="true" errorStyle="stop" operator="between" showDropDown="false" showErrorMessage="false" showInputMessage="false" sqref="G5:G200" type="list">
      <formula1>"Sergio Anaya,Yoarlys Carrillo,Leidy Iral,Yulieth Guarin"</formula1>
      <formula2>0</formula2>
    </dataValidation>
    <dataValidation allowBlank="true" errorStyle="stop" operator="between" showDropDown="false" showErrorMessage="false" showInputMessage="false" sqref="L5:L200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6" activeCellId="0" sqref="G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54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1" min="11" style="0" width="10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73" t="s">
        <v>156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customFormat="false" ht="18" hidden="false" customHeight="true" outlineLevel="0" collapsed="false">
      <c r="A2" s="2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3.75" hidden="false" customHeight="true" outlineLevel="0" collapsed="false">
      <c r="A4" s="74" t="s">
        <v>65</v>
      </c>
      <c r="B4" s="74" t="s">
        <v>119</v>
      </c>
      <c r="C4" s="74" t="s">
        <v>120</v>
      </c>
      <c r="D4" s="74" t="s">
        <v>121</v>
      </c>
      <c r="E4" s="74" t="s">
        <v>122</v>
      </c>
      <c r="F4" s="74" t="s">
        <v>123</v>
      </c>
      <c r="G4" s="74" t="s">
        <v>18</v>
      </c>
      <c r="H4" s="74" t="s">
        <v>8</v>
      </c>
      <c r="I4" s="74" t="s">
        <v>9</v>
      </c>
      <c r="J4" s="74" t="s">
        <v>5</v>
      </c>
      <c r="K4" s="74" t="s">
        <v>6</v>
      </c>
      <c r="L4" s="74" t="s">
        <v>7</v>
      </c>
      <c r="M4" s="74" t="s">
        <v>124</v>
      </c>
    </row>
    <row r="5" customFormat="false" ht="30" hidden="false" customHeight="true" outlineLevel="0" collapsed="false">
      <c r="A5" s="52" t="s">
        <v>103</v>
      </c>
      <c r="B5" s="53" t="s">
        <v>41</v>
      </c>
      <c r="C5" s="65" t="s">
        <v>42</v>
      </c>
      <c r="D5" s="55" t="s">
        <v>158</v>
      </c>
      <c r="E5" s="53" t="s">
        <v>37</v>
      </c>
      <c r="F5" s="55" t="s">
        <v>126</v>
      </c>
      <c r="G5" s="53" t="s">
        <v>23</v>
      </c>
      <c r="H5" s="56" t="n">
        <v>46237.2083333333</v>
      </c>
      <c r="I5" s="56" t="n">
        <v>46239.2083333333</v>
      </c>
      <c r="J5" s="57" t="n">
        <v>15</v>
      </c>
      <c r="K5" s="57"/>
      <c r="L5" s="58" t="n">
        <v>0</v>
      </c>
      <c r="M5" s="55" t="s">
        <v>159</v>
      </c>
    </row>
    <row r="6" customFormat="false" ht="30" hidden="false" customHeight="true" outlineLevel="0" collapsed="false">
      <c r="A6" s="59" t="s">
        <v>104</v>
      </c>
      <c r="B6" s="60" t="s">
        <v>41</v>
      </c>
      <c r="C6" s="65" t="s">
        <v>42</v>
      </c>
      <c r="D6" s="61" t="s">
        <v>160</v>
      </c>
      <c r="E6" s="60" t="s">
        <v>37</v>
      </c>
      <c r="F6" s="61" t="s">
        <v>103</v>
      </c>
      <c r="G6" s="60" t="s">
        <v>25</v>
      </c>
      <c r="H6" s="62" t="n">
        <v>46241.2083333333</v>
      </c>
      <c r="I6" s="62" t="n">
        <v>46244.2083333333</v>
      </c>
      <c r="J6" s="63" t="n">
        <v>8</v>
      </c>
      <c r="K6" s="63"/>
      <c r="L6" s="64" t="n">
        <v>0</v>
      </c>
      <c r="M6" s="61" t="s">
        <v>161</v>
      </c>
    </row>
    <row r="7" customFormat="false" ht="30" hidden="false" customHeight="true" outlineLevel="0" collapsed="false">
      <c r="A7" s="52" t="s">
        <v>105</v>
      </c>
      <c r="B7" s="53" t="s">
        <v>41</v>
      </c>
      <c r="C7" s="65" t="s">
        <v>42</v>
      </c>
      <c r="D7" s="55" t="s">
        <v>162</v>
      </c>
      <c r="E7" s="53" t="s">
        <v>37</v>
      </c>
      <c r="F7" s="55" t="s">
        <v>103</v>
      </c>
      <c r="G7" s="53" t="s">
        <v>27</v>
      </c>
      <c r="H7" s="56" t="n">
        <v>46241.2083333333</v>
      </c>
      <c r="I7" s="56" t="n">
        <v>46246.2083333333</v>
      </c>
      <c r="J7" s="57" t="n">
        <v>20</v>
      </c>
      <c r="K7" s="57"/>
      <c r="L7" s="58" t="n">
        <v>0</v>
      </c>
      <c r="M7" s="55" t="s">
        <v>163</v>
      </c>
    </row>
    <row r="8" customFormat="false" ht="30" hidden="false" customHeight="true" outlineLevel="0" collapsed="false">
      <c r="A8" s="59" t="s">
        <v>81</v>
      </c>
      <c r="B8" s="60" t="s">
        <v>41</v>
      </c>
      <c r="C8" s="65" t="s">
        <v>42</v>
      </c>
      <c r="D8" s="61" t="s">
        <v>164</v>
      </c>
      <c r="E8" s="60" t="s">
        <v>37</v>
      </c>
      <c r="F8" s="61" t="s">
        <v>165</v>
      </c>
      <c r="G8" s="60" t="s">
        <v>29</v>
      </c>
      <c r="H8" s="62" t="n">
        <v>46246.2083333333</v>
      </c>
      <c r="I8" s="62" t="n">
        <v>46247.2083333333</v>
      </c>
      <c r="J8" s="63" t="n">
        <v>10</v>
      </c>
      <c r="K8" s="63"/>
      <c r="L8" s="64" t="n">
        <v>0</v>
      </c>
      <c r="M8" s="61" t="s">
        <v>166</v>
      </c>
    </row>
    <row r="9" customFormat="false" ht="30" hidden="false" customHeight="true" outlineLevel="0" collapsed="false">
      <c r="A9" s="52" t="s">
        <v>82</v>
      </c>
      <c r="B9" s="53" t="s">
        <v>41</v>
      </c>
      <c r="C9" s="65" t="s">
        <v>42</v>
      </c>
      <c r="D9" s="55" t="s">
        <v>167</v>
      </c>
      <c r="E9" s="53" t="s">
        <v>37</v>
      </c>
      <c r="F9" s="55" t="s">
        <v>168</v>
      </c>
      <c r="G9" s="53" t="s">
        <v>27</v>
      </c>
      <c r="H9" s="56" t="n">
        <v>46268.2083333333</v>
      </c>
      <c r="I9" s="56" t="n">
        <v>46273.2083333333</v>
      </c>
      <c r="J9" s="57" t="n">
        <v>20</v>
      </c>
      <c r="K9" s="57"/>
      <c r="L9" s="58" t="n">
        <v>0</v>
      </c>
      <c r="M9" s="55" t="s">
        <v>169</v>
      </c>
    </row>
    <row r="10" customFormat="false" ht="30" hidden="false" customHeight="true" outlineLevel="0" collapsed="false">
      <c r="A10" s="59" t="s">
        <v>83</v>
      </c>
      <c r="B10" s="60" t="s">
        <v>41</v>
      </c>
      <c r="C10" s="65" t="s">
        <v>42</v>
      </c>
      <c r="D10" s="61" t="s">
        <v>170</v>
      </c>
      <c r="E10" s="60" t="s">
        <v>37</v>
      </c>
      <c r="F10" s="61" t="s">
        <v>168</v>
      </c>
      <c r="G10" s="60" t="s">
        <v>25</v>
      </c>
      <c r="H10" s="62" t="n">
        <v>46274.2083333333</v>
      </c>
      <c r="I10" s="62" t="n">
        <v>46275.2083333333</v>
      </c>
      <c r="J10" s="63" t="n">
        <v>10</v>
      </c>
      <c r="K10" s="63"/>
      <c r="L10" s="64" t="n">
        <v>0</v>
      </c>
      <c r="M10" s="61" t="s">
        <v>171</v>
      </c>
    </row>
    <row r="11" customFormat="false" ht="30" hidden="false" customHeight="true" outlineLevel="0" collapsed="false">
      <c r="A11" s="52" t="s">
        <v>84</v>
      </c>
      <c r="B11" s="53" t="s">
        <v>41</v>
      </c>
      <c r="C11" s="65" t="s">
        <v>42</v>
      </c>
      <c r="D11" s="55" t="s">
        <v>172</v>
      </c>
      <c r="E11" s="53" t="s">
        <v>40</v>
      </c>
      <c r="F11" s="55" t="s">
        <v>165</v>
      </c>
      <c r="G11" s="53" t="s">
        <v>23</v>
      </c>
      <c r="H11" s="56" t="n">
        <v>46252.2083333333</v>
      </c>
      <c r="I11" s="56" t="n">
        <v>46253.2083333333</v>
      </c>
      <c r="J11" s="57" t="n">
        <v>10</v>
      </c>
      <c r="K11" s="57"/>
      <c r="L11" s="58" t="n">
        <v>0</v>
      </c>
      <c r="M11" s="55"/>
    </row>
    <row r="12" customFormat="false" ht="30" hidden="false" customHeight="true" outlineLevel="0" collapsed="false">
      <c r="A12" s="59" t="s">
        <v>85</v>
      </c>
      <c r="B12" s="60" t="s">
        <v>41</v>
      </c>
      <c r="C12" s="65" t="s">
        <v>42</v>
      </c>
      <c r="D12" s="61" t="s">
        <v>173</v>
      </c>
      <c r="E12" s="60" t="s">
        <v>40</v>
      </c>
      <c r="F12" s="61" t="s">
        <v>174</v>
      </c>
      <c r="G12" s="60" t="s">
        <v>27</v>
      </c>
      <c r="H12" s="62" t="n">
        <v>46275.2083333333</v>
      </c>
      <c r="I12" s="62" t="n">
        <v>46276.2083333333</v>
      </c>
      <c r="J12" s="63" t="n">
        <v>10</v>
      </c>
      <c r="K12" s="63"/>
      <c r="L12" s="64" t="n">
        <v>0</v>
      </c>
      <c r="M12" s="61"/>
    </row>
    <row r="13" customFormat="false" ht="30" hidden="false" customHeight="true" outlineLevel="0" collapsed="false">
      <c r="A13" s="52" t="s">
        <v>86</v>
      </c>
      <c r="B13" s="53" t="s">
        <v>41</v>
      </c>
      <c r="C13" s="65" t="s">
        <v>42</v>
      </c>
      <c r="D13" s="55" t="s">
        <v>175</v>
      </c>
      <c r="E13" s="53" t="s">
        <v>37</v>
      </c>
      <c r="F13" s="55" t="s">
        <v>176</v>
      </c>
      <c r="G13" s="53" t="s">
        <v>23</v>
      </c>
      <c r="H13" s="56" t="n">
        <v>46283.2083333333</v>
      </c>
      <c r="I13" s="56" t="n">
        <v>46287.2083333333</v>
      </c>
      <c r="J13" s="57" t="n">
        <v>13</v>
      </c>
      <c r="K13" s="57"/>
      <c r="L13" s="58" t="n">
        <v>0</v>
      </c>
      <c r="M13" s="55" t="s">
        <v>177</v>
      </c>
    </row>
    <row r="14" customFormat="false" ht="30" hidden="false" customHeight="true" outlineLevel="0" collapsed="false">
      <c r="A14" s="59" t="s">
        <v>87</v>
      </c>
      <c r="B14" s="60" t="s">
        <v>41</v>
      </c>
      <c r="C14" s="65" t="s">
        <v>42</v>
      </c>
      <c r="D14" s="61" t="s">
        <v>178</v>
      </c>
      <c r="E14" s="60" t="s">
        <v>40</v>
      </c>
      <c r="F14" s="61" t="s">
        <v>165</v>
      </c>
      <c r="G14" s="60" t="s">
        <v>29</v>
      </c>
      <c r="H14" s="62" t="n">
        <v>46258.2083333333</v>
      </c>
      <c r="I14" s="62" t="n">
        <v>46259.2083333333</v>
      </c>
      <c r="J14" s="63" t="n">
        <v>8</v>
      </c>
      <c r="K14" s="63"/>
      <c r="L14" s="64" t="n">
        <v>0</v>
      </c>
      <c r="M14" s="61" t="s">
        <v>179</v>
      </c>
    </row>
    <row r="15" customFormat="false" ht="30" hidden="false" customHeight="true" outlineLevel="0" collapsed="false">
      <c r="A15" s="52" t="s">
        <v>88</v>
      </c>
      <c r="B15" s="53" t="s">
        <v>41</v>
      </c>
      <c r="C15" s="65" t="s">
        <v>42</v>
      </c>
      <c r="D15" s="55" t="s">
        <v>180</v>
      </c>
      <c r="E15" s="53" t="s">
        <v>40</v>
      </c>
      <c r="F15" s="55" t="s">
        <v>181</v>
      </c>
      <c r="G15" s="53" t="s">
        <v>29</v>
      </c>
      <c r="H15" s="56" t="n">
        <v>46275.2083333333</v>
      </c>
      <c r="I15" s="56" t="n">
        <v>46276.2083333333</v>
      </c>
      <c r="J15" s="57" t="n">
        <v>8</v>
      </c>
      <c r="K15" s="57"/>
      <c r="L15" s="58" t="n">
        <v>0</v>
      </c>
      <c r="M15" s="55"/>
    </row>
    <row r="16" customFormat="false" ht="30" hidden="false" customHeight="true" outlineLevel="0" collapsed="false">
      <c r="A16" s="59" t="s">
        <v>89</v>
      </c>
      <c r="B16" s="60" t="s">
        <v>41</v>
      </c>
      <c r="C16" s="65" t="s">
        <v>42</v>
      </c>
      <c r="D16" s="61" t="s">
        <v>182</v>
      </c>
      <c r="E16" s="60" t="s">
        <v>40</v>
      </c>
      <c r="F16" s="61" t="s">
        <v>165</v>
      </c>
      <c r="G16" s="60" t="s">
        <v>25</v>
      </c>
      <c r="H16" s="62" t="n">
        <v>46259.2083333333</v>
      </c>
      <c r="I16" s="62" t="n">
        <v>46260.2083333333</v>
      </c>
      <c r="J16" s="63" t="n">
        <v>8</v>
      </c>
      <c r="K16" s="63"/>
      <c r="L16" s="64" t="n">
        <v>0</v>
      </c>
      <c r="M16" s="61"/>
    </row>
    <row r="17" customFormat="false" ht="30" hidden="false" customHeight="true" outlineLevel="0" collapsed="false">
      <c r="A17" s="52" t="s">
        <v>90</v>
      </c>
      <c r="B17" s="53" t="s">
        <v>41</v>
      </c>
      <c r="C17" s="65" t="s">
        <v>42</v>
      </c>
      <c r="D17" s="55" t="s">
        <v>183</v>
      </c>
      <c r="E17" s="53" t="s">
        <v>40</v>
      </c>
      <c r="F17" s="55" t="s">
        <v>165</v>
      </c>
      <c r="G17" s="53" t="s">
        <v>23</v>
      </c>
      <c r="H17" s="56" t="n">
        <v>46261.2083333333</v>
      </c>
      <c r="I17" s="56" t="n">
        <v>46265.2083333333</v>
      </c>
      <c r="J17" s="57" t="n">
        <v>13</v>
      </c>
      <c r="K17" s="57"/>
      <c r="L17" s="58" t="n">
        <v>0</v>
      </c>
      <c r="M17" s="55" t="s">
        <v>184</v>
      </c>
    </row>
    <row r="18" customFormat="false" ht="30" hidden="false" customHeight="true" outlineLevel="0" collapsed="false">
      <c r="A18" s="59" t="s">
        <v>91</v>
      </c>
      <c r="B18" s="60" t="s">
        <v>41</v>
      </c>
      <c r="C18" s="65" t="s">
        <v>42</v>
      </c>
      <c r="D18" s="61" t="s">
        <v>185</v>
      </c>
      <c r="E18" s="60" t="s">
        <v>40</v>
      </c>
      <c r="F18" s="61" t="s">
        <v>165</v>
      </c>
      <c r="G18" s="60" t="s">
        <v>29</v>
      </c>
      <c r="H18" s="62" t="n">
        <v>46261.2083333333</v>
      </c>
      <c r="I18" s="62" t="n">
        <v>46265.2083333333</v>
      </c>
      <c r="J18" s="63" t="n">
        <v>13</v>
      </c>
      <c r="K18" s="63"/>
      <c r="L18" s="64" t="n">
        <v>0</v>
      </c>
      <c r="M18" s="61" t="s">
        <v>184</v>
      </c>
    </row>
    <row r="19" customFormat="false" ht="30" hidden="false" customHeight="true" outlineLevel="0" collapsed="false">
      <c r="A19" s="52" t="s">
        <v>92</v>
      </c>
      <c r="B19" s="53" t="s">
        <v>41</v>
      </c>
      <c r="C19" s="65" t="s">
        <v>42</v>
      </c>
      <c r="D19" s="55" t="s">
        <v>186</v>
      </c>
      <c r="E19" s="53" t="s">
        <v>40</v>
      </c>
      <c r="F19" s="55" t="s">
        <v>165</v>
      </c>
      <c r="G19" s="53" t="s">
        <v>25</v>
      </c>
      <c r="H19" s="56" t="n">
        <v>46262.2083333333</v>
      </c>
      <c r="I19" s="56" t="n">
        <v>46266.2083333333</v>
      </c>
      <c r="J19" s="57" t="n">
        <v>13</v>
      </c>
      <c r="K19" s="57"/>
      <c r="L19" s="58" t="n">
        <v>0</v>
      </c>
      <c r="M19" s="55" t="s">
        <v>187</v>
      </c>
    </row>
    <row r="20" customFormat="false" ht="30" hidden="false" customHeight="true" outlineLevel="0" collapsed="false">
      <c r="A20" s="59" t="s">
        <v>93</v>
      </c>
      <c r="B20" s="60" t="s">
        <v>41</v>
      </c>
      <c r="C20" s="65" t="s">
        <v>42</v>
      </c>
      <c r="D20" s="61" t="s">
        <v>188</v>
      </c>
      <c r="E20" s="60" t="s">
        <v>40</v>
      </c>
      <c r="F20" s="61" t="s">
        <v>189</v>
      </c>
      <c r="G20" s="60" t="s">
        <v>25</v>
      </c>
      <c r="H20" s="62" t="n">
        <v>46283.2083333333</v>
      </c>
      <c r="I20" s="62" t="n">
        <v>46287.2083333333</v>
      </c>
      <c r="J20" s="63" t="n">
        <v>13</v>
      </c>
      <c r="K20" s="63"/>
      <c r="L20" s="64" t="n">
        <v>0</v>
      </c>
      <c r="M20" s="61" t="s">
        <v>190</v>
      </c>
    </row>
    <row r="21" customFormat="false" ht="30" hidden="false" customHeight="true" outlineLevel="0" collapsed="false">
      <c r="A21" s="52" t="s">
        <v>94</v>
      </c>
      <c r="B21" s="53" t="s">
        <v>41</v>
      </c>
      <c r="C21" s="65" t="s">
        <v>42</v>
      </c>
      <c r="D21" s="55" t="s">
        <v>191</v>
      </c>
      <c r="E21" s="53" t="s">
        <v>37</v>
      </c>
      <c r="F21" s="55" t="s">
        <v>168</v>
      </c>
      <c r="G21" s="53" t="s">
        <v>23</v>
      </c>
      <c r="H21" s="56" t="n">
        <v>46279.2083333333</v>
      </c>
      <c r="I21" s="56" t="n">
        <v>46281.2083333333</v>
      </c>
      <c r="J21" s="57" t="n">
        <v>15</v>
      </c>
      <c r="K21" s="57"/>
      <c r="L21" s="58" t="n">
        <v>0</v>
      </c>
      <c r="M21" s="55" t="s">
        <v>140</v>
      </c>
    </row>
    <row r="22" customFormat="false" ht="30" hidden="false" customHeight="true" outlineLevel="0" collapsed="false">
      <c r="A22" s="59" t="s">
        <v>97</v>
      </c>
      <c r="B22" s="60" t="s">
        <v>41</v>
      </c>
      <c r="C22" s="65" t="s">
        <v>42</v>
      </c>
      <c r="D22" s="61" t="s">
        <v>192</v>
      </c>
      <c r="E22" s="60" t="s">
        <v>40</v>
      </c>
      <c r="F22" s="61" t="s">
        <v>168</v>
      </c>
      <c r="G22" s="60" t="s">
        <v>25</v>
      </c>
      <c r="H22" s="62" t="n">
        <v>46279.2083333333</v>
      </c>
      <c r="I22" s="62" t="n">
        <v>46281.2083333333</v>
      </c>
      <c r="J22" s="63" t="n">
        <v>13</v>
      </c>
      <c r="K22" s="63"/>
      <c r="L22" s="64" t="n">
        <v>0</v>
      </c>
      <c r="M22" s="61" t="s">
        <v>145</v>
      </c>
    </row>
    <row r="23" customFormat="false" ht="30" hidden="false" customHeight="true" outlineLevel="0" collapsed="false">
      <c r="A23" s="52" t="s">
        <v>98</v>
      </c>
      <c r="B23" s="53" t="s">
        <v>41</v>
      </c>
      <c r="C23" s="65" t="s">
        <v>42</v>
      </c>
      <c r="D23" s="55" t="s">
        <v>193</v>
      </c>
      <c r="E23" s="53" t="s">
        <v>40</v>
      </c>
      <c r="F23" s="55" t="s">
        <v>165</v>
      </c>
      <c r="G23" s="53" t="s">
        <v>27</v>
      </c>
      <c r="H23" s="56" t="n">
        <v>46262.2083333333</v>
      </c>
      <c r="I23" s="56" t="n">
        <v>46266.2083333333</v>
      </c>
      <c r="J23" s="57" t="n">
        <v>18</v>
      </c>
      <c r="K23" s="57"/>
      <c r="L23" s="58" t="n">
        <v>0</v>
      </c>
      <c r="M23" s="55" t="s">
        <v>194</v>
      </c>
    </row>
    <row r="24" customFormat="false" ht="30" hidden="false" customHeight="true" outlineLevel="0" collapsed="false">
      <c r="A24" s="59" t="s">
        <v>106</v>
      </c>
      <c r="B24" s="60" t="s">
        <v>41</v>
      </c>
      <c r="C24" s="65" t="s">
        <v>42</v>
      </c>
      <c r="D24" s="61" t="s">
        <v>195</v>
      </c>
      <c r="E24" s="60" t="s">
        <v>40</v>
      </c>
      <c r="F24" s="61" t="s">
        <v>196</v>
      </c>
      <c r="G24" s="60" t="s">
        <v>27</v>
      </c>
      <c r="H24" s="62" t="n">
        <v>46280.2083333333</v>
      </c>
      <c r="I24" s="62" t="n">
        <v>46282.2083333333</v>
      </c>
      <c r="J24" s="63" t="n">
        <v>15</v>
      </c>
      <c r="K24" s="63"/>
      <c r="L24" s="64" t="n">
        <v>0</v>
      </c>
      <c r="M24" s="61" t="s">
        <v>197</v>
      </c>
    </row>
    <row r="25" customFormat="false" ht="30" hidden="false" customHeight="true" outlineLevel="0" collapsed="false">
      <c r="A25" s="52" t="s">
        <v>107</v>
      </c>
      <c r="B25" s="53" t="s">
        <v>41</v>
      </c>
      <c r="C25" s="65" t="s">
        <v>42</v>
      </c>
      <c r="D25" s="55" t="s">
        <v>198</v>
      </c>
      <c r="E25" s="53" t="s">
        <v>37</v>
      </c>
      <c r="F25" s="55" t="s">
        <v>165</v>
      </c>
      <c r="G25" s="53" t="s">
        <v>23</v>
      </c>
      <c r="H25" s="56" t="n">
        <v>46246.2083333333</v>
      </c>
      <c r="I25" s="56" t="n">
        <v>46248.2083333333</v>
      </c>
      <c r="J25" s="57" t="n">
        <v>15</v>
      </c>
      <c r="K25" s="57"/>
      <c r="L25" s="58" t="n">
        <v>0</v>
      </c>
      <c r="M25" s="55" t="s">
        <v>199</v>
      </c>
    </row>
    <row r="26" customFormat="false" ht="30" hidden="false" customHeight="true" outlineLevel="0" collapsed="false">
      <c r="A26" s="59" t="s">
        <v>108</v>
      </c>
      <c r="B26" s="60" t="s">
        <v>41</v>
      </c>
      <c r="C26" s="65" t="s">
        <v>42</v>
      </c>
      <c r="D26" s="61" t="s">
        <v>200</v>
      </c>
      <c r="E26" s="60" t="s">
        <v>37</v>
      </c>
      <c r="F26" s="61" t="s">
        <v>201</v>
      </c>
      <c r="G26" s="60" t="s">
        <v>27</v>
      </c>
      <c r="H26" s="62" t="n">
        <v>46286.2083333333</v>
      </c>
      <c r="I26" s="62" t="n">
        <v>46287.2083333333</v>
      </c>
      <c r="J26" s="63" t="n">
        <v>10</v>
      </c>
      <c r="K26" s="63"/>
      <c r="L26" s="64" t="n">
        <v>0</v>
      </c>
      <c r="M26" s="61" t="s">
        <v>202</v>
      </c>
    </row>
    <row r="27" customFormat="false" ht="30" hidden="false" customHeight="true" outlineLevel="0" collapsed="false">
      <c r="A27" s="52" t="s">
        <v>109</v>
      </c>
      <c r="B27" s="53" t="s">
        <v>41</v>
      </c>
      <c r="C27" s="65" t="s">
        <v>42</v>
      </c>
      <c r="D27" s="55" t="s">
        <v>203</v>
      </c>
      <c r="E27" s="53" t="s">
        <v>37</v>
      </c>
      <c r="F27" s="55" t="s">
        <v>204</v>
      </c>
      <c r="G27" s="53" t="s">
        <v>23</v>
      </c>
      <c r="H27" s="56" t="n">
        <v>46289.2083333333</v>
      </c>
      <c r="I27" s="56" t="n">
        <v>46293.2083333333</v>
      </c>
      <c r="J27" s="57" t="n">
        <v>15</v>
      </c>
      <c r="K27" s="57"/>
      <c r="L27" s="58" t="n">
        <v>0</v>
      </c>
      <c r="M27" s="55" t="s">
        <v>205</v>
      </c>
    </row>
    <row r="28" customFormat="false" ht="30" hidden="false" customHeight="true" outlineLevel="0" collapsed="false">
      <c r="A28" s="59" t="s">
        <v>110</v>
      </c>
      <c r="B28" s="60" t="s">
        <v>41</v>
      </c>
      <c r="C28" s="65" t="s">
        <v>42</v>
      </c>
      <c r="D28" s="61" t="s">
        <v>206</v>
      </c>
      <c r="E28" s="60" t="s">
        <v>37</v>
      </c>
      <c r="F28" s="61" t="s">
        <v>204</v>
      </c>
      <c r="G28" s="60" t="s">
        <v>25</v>
      </c>
      <c r="H28" s="62" t="n">
        <v>46289.2083333333</v>
      </c>
      <c r="I28" s="62" t="n">
        <v>46293.2083333333</v>
      </c>
      <c r="J28" s="63" t="n">
        <v>15</v>
      </c>
      <c r="K28" s="63"/>
      <c r="L28" s="64" t="n">
        <v>0</v>
      </c>
      <c r="M28" s="61" t="s">
        <v>205</v>
      </c>
    </row>
    <row r="29" customFormat="false" ht="30" hidden="false" customHeight="true" outlineLevel="0" collapsed="false">
      <c r="A29" s="52" t="s">
        <v>111</v>
      </c>
      <c r="B29" s="53" t="s">
        <v>41</v>
      </c>
      <c r="C29" s="65" t="s">
        <v>42</v>
      </c>
      <c r="D29" s="55" t="s">
        <v>207</v>
      </c>
      <c r="E29" s="53" t="s">
        <v>37</v>
      </c>
      <c r="F29" s="55" t="s">
        <v>204</v>
      </c>
      <c r="G29" s="53" t="s">
        <v>27</v>
      </c>
      <c r="H29" s="56" t="n">
        <v>46289.2083333333</v>
      </c>
      <c r="I29" s="56" t="n">
        <v>46293.2083333333</v>
      </c>
      <c r="J29" s="57" t="n">
        <v>13</v>
      </c>
      <c r="K29" s="57"/>
      <c r="L29" s="58" t="n">
        <v>0</v>
      </c>
      <c r="M29" s="55" t="s">
        <v>205</v>
      </c>
    </row>
    <row r="30" customFormat="false" ht="30" hidden="false" customHeight="true" outlineLevel="0" collapsed="false">
      <c r="A30" s="59" t="s">
        <v>112</v>
      </c>
      <c r="B30" s="60" t="s">
        <v>41</v>
      </c>
      <c r="C30" s="65" t="s">
        <v>42</v>
      </c>
      <c r="D30" s="61" t="s">
        <v>208</v>
      </c>
      <c r="E30" s="60" t="s">
        <v>37</v>
      </c>
      <c r="F30" s="61" t="s">
        <v>204</v>
      </c>
      <c r="G30" s="60" t="s">
        <v>23</v>
      </c>
      <c r="H30" s="62" t="n">
        <v>46295.2083333333</v>
      </c>
      <c r="I30" s="62" t="n">
        <v>46297.2083333333</v>
      </c>
      <c r="J30" s="63" t="n">
        <v>15</v>
      </c>
      <c r="K30" s="63"/>
      <c r="L30" s="64" t="n">
        <v>0</v>
      </c>
      <c r="M30" s="61" t="s">
        <v>205</v>
      </c>
    </row>
    <row r="31" customFormat="false" ht="30" hidden="false" customHeight="true" outlineLevel="0" collapsed="false">
      <c r="A31" s="52" t="s">
        <v>113</v>
      </c>
      <c r="B31" s="53" t="s">
        <v>41</v>
      </c>
      <c r="C31" s="65" t="s">
        <v>42</v>
      </c>
      <c r="D31" s="55" t="s">
        <v>209</v>
      </c>
      <c r="E31" s="53" t="s">
        <v>40</v>
      </c>
      <c r="F31" s="55" t="s">
        <v>204</v>
      </c>
      <c r="G31" s="53" t="s">
        <v>23</v>
      </c>
      <c r="H31" s="56" t="n">
        <v>46301.2083333333</v>
      </c>
      <c r="I31" s="56" t="n">
        <v>46302.2083333333</v>
      </c>
      <c r="J31" s="57" t="n">
        <v>10</v>
      </c>
      <c r="K31" s="57"/>
      <c r="L31" s="58" t="n">
        <v>0</v>
      </c>
      <c r="M31" s="55" t="s">
        <v>210</v>
      </c>
    </row>
    <row r="32" customFormat="false" ht="30" hidden="false" customHeight="true" outlineLevel="0" collapsed="false">
      <c r="A32" s="59" t="s">
        <v>114</v>
      </c>
      <c r="B32" s="60" t="s">
        <v>41</v>
      </c>
      <c r="C32" s="65" t="s">
        <v>42</v>
      </c>
      <c r="D32" s="61" t="s">
        <v>211</v>
      </c>
      <c r="E32" s="60" t="s">
        <v>40</v>
      </c>
      <c r="F32" s="61" t="s">
        <v>204</v>
      </c>
      <c r="G32" s="60" t="s">
        <v>25</v>
      </c>
      <c r="H32" s="62" t="n">
        <v>46295.2083333333</v>
      </c>
      <c r="I32" s="62" t="n">
        <v>46297.2083333333</v>
      </c>
      <c r="J32" s="63" t="n">
        <v>13</v>
      </c>
      <c r="K32" s="63"/>
      <c r="L32" s="64" t="n">
        <v>0</v>
      </c>
      <c r="M32" s="61" t="s">
        <v>205</v>
      </c>
    </row>
    <row r="33" customFormat="false" ht="30" hidden="false" customHeight="true" outlineLevel="0" collapsed="false">
      <c r="A33" s="52" t="s">
        <v>115</v>
      </c>
      <c r="B33" s="53" t="s">
        <v>41</v>
      </c>
      <c r="C33" s="65" t="s">
        <v>42</v>
      </c>
      <c r="D33" s="55" t="s">
        <v>212</v>
      </c>
      <c r="E33" s="53" t="s">
        <v>40</v>
      </c>
      <c r="F33" s="55" t="s">
        <v>204</v>
      </c>
      <c r="G33" s="53" t="s">
        <v>27</v>
      </c>
      <c r="H33" s="56" t="n">
        <v>46295.2083333333</v>
      </c>
      <c r="I33" s="56" t="n">
        <v>46297.2083333333</v>
      </c>
      <c r="J33" s="57" t="n">
        <v>13</v>
      </c>
      <c r="K33" s="57"/>
      <c r="L33" s="58" t="n">
        <v>0</v>
      </c>
      <c r="M33" s="55" t="s">
        <v>205</v>
      </c>
    </row>
    <row r="34" customFormat="false" ht="30" hidden="false" customHeight="true" outlineLevel="0" collapsed="false">
      <c r="A34" s="59" t="s">
        <v>96</v>
      </c>
      <c r="B34" s="60" t="s">
        <v>41</v>
      </c>
      <c r="C34" s="65" t="s">
        <v>42</v>
      </c>
      <c r="D34" s="61" t="s">
        <v>213</v>
      </c>
      <c r="E34" s="60" t="s">
        <v>37</v>
      </c>
      <c r="F34" s="61" t="s">
        <v>168</v>
      </c>
      <c r="G34" s="60" t="s">
        <v>29</v>
      </c>
      <c r="H34" s="62" t="n">
        <v>46287.2083333333</v>
      </c>
      <c r="I34" s="62" t="n">
        <v>46293.2083333333</v>
      </c>
      <c r="J34" s="63" t="n">
        <v>30</v>
      </c>
      <c r="K34" s="63"/>
      <c r="L34" s="64" t="n">
        <v>0</v>
      </c>
      <c r="M34" s="61" t="s">
        <v>214</v>
      </c>
    </row>
    <row r="35" customFormat="false" ht="30" hidden="false" customHeight="true" outlineLevel="0" collapsed="false">
      <c r="A35" s="52" t="s">
        <v>116</v>
      </c>
      <c r="B35" s="53" t="s">
        <v>44</v>
      </c>
      <c r="C35" s="65" t="s">
        <v>42</v>
      </c>
      <c r="D35" s="55" t="s">
        <v>215</v>
      </c>
      <c r="E35" s="53" t="s">
        <v>37</v>
      </c>
      <c r="F35" s="55" t="s">
        <v>216</v>
      </c>
      <c r="G35" s="53" t="s">
        <v>29</v>
      </c>
      <c r="H35" s="56" t="n">
        <v>46300.2083333333</v>
      </c>
      <c r="I35" s="56" t="n">
        <v>46302.2083333333</v>
      </c>
      <c r="J35" s="57" t="n">
        <v>13</v>
      </c>
      <c r="K35" s="57"/>
      <c r="L35" s="58" t="n">
        <v>0</v>
      </c>
      <c r="M35" s="55" t="s">
        <v>217</v>
      </c>
    </row>
    <row r="36" customFormat="false" ht="15" hidden="false" customHeight="false" outlineLevel="0" collapsed="false">
      <c r="H36" s="68"/>
      <c r="I36" s="68"/>
      <c r="L36" s="69"/>
    </row>
    <row r="37" customFormat="false" ht="15" hidden="false" customHeight="false" outlineLevel="0" collapsed="false">
      <c r="A37" s="70" t="s">
        <v>155</v>
      </c>
      <c r="B37" s="70"/>
      <c r="C37" s="70"/>
      <c r="D37" s="70"/>
      <c r="E37" s="70"/>
      <c r="F37" s="70"/>
      <c r="G37" s="70"/>
      <c r="H37" s="70"/>
      <c r="I37" s="70"/>
      <c r="J37" s="71" t="n">
        <f aca="false">SUM(J5:J35)</f>
        <v>415</v>
      </c>
      <c r="K37" s="71" t="n">
        <f aca="false">SUM(K5:K35)</f>
        <v>0</v>
      </c>
      <c r="L37" s="72" t="n">
        <f aca="false">IFERROR(SUMPRODUCT(J5:J35,L5:L35)/SUM(J5:J35),0)</f>
        <v>0</v>
      </c>
    </row>
    <row r="38" customFormat="false" ht="15" hidden="false" customHeight="false" outlineLevel="0" collapsed="false">
      <c r="H38" s="68"/>
      <c r="I38" s="68"/>
      <c r="L38" s="69"/>
    </row>
    <row r="39" customFormat="false" ht="15" hidden="false" customHeight="false" outlineLevel="0" collapsed="false">
      <c r="H39" s="68"/>
      <c r="I39" s="68"/>
      <c r="L39" s="69"/>
    </row>
    <row r="40" customFormat="false" ht="15" hidden="false" customHeight="false" outlineLevel="0" collapsed="false">
      <c r="H40" s="68"/>
      <c r="I40" s="68"/>
      <c r="L40" s="69"/>
    </row>
    <row r="41" customFormat="false" ht="15" hidden="false" customHeight="false" outlineLevel="0" collapsed="false">
      <c r="H41" s="68"/>
      <c r="I41" s="68"/>
      <c r="L41" s="69"/>
    </row>
    <row r="42" customFormat="false" ht="15" hidden="false" customHeight="false" outlineLevel="0" collapsed="false">
      <c r="H42" s="68"/>
      <c r="I42" s="68"/>
      <c r="L42" s="69"/>
    </row>
    <row r="43" customFormat="false" ht="15" hidden="false" customHeight="false" outlineLevel="0" collapsed="false">
      <c r="H43" s="68"/>
      <c r="I43" s="68"/>
      <c r="L43" s="69"/>
    </row>
    <row r="44" customFormat="false" ht="15" hidden="false" customHeight="false" outlineLevel="0" collapsed="false">
      <c r="H44" s="68"/>
      <c r="I44" s="68"/>
      <c r="L44" s="69"/>
    </row>
    <row r="45" customFormat="false" ht="15" hidden="false" customHeight="false" outlineLevel="0" collapsed="false">
      <c r="H45" s="68"/>
      <c r="I45" s="68"/>
      <c r="L45" s="69"/>
    </row>
    <row r="46" customFormat="false" ht="15" hidden="false" customHeight="false" outlineLevel="0" collapsed="false">
      <c r="H46" s="68"/>
      <c r="I46" s="68"/>
      <c r="L46" s="69"/>
    </row>
    <row r="47" customFormat="false" ht="15" hidden="false" customHeight="false" outlineLevel="0" collapsed="false">
      <c r="H47" s="68"/>
      <c r="I47" s="68"/>
      <c r="L47" s="69"/>
    </row>
    <row r="48" customFormat="false" ht="15" hidden="false" customHeight="false" outlineLevel="0" collapsed="false">
      <c r="H48" s="68"/>
      <c r="I48" s="68"/>
      <c r="L48" s="69"/>
    </row>
    <row r="49" customFormat="false" ht="15" hidden="false" customHeight="false" outlineLevel="0" collapsed="false">
      <c r="H49" s="68"/>
      <c r="I49" s="68"/>
      <c r="L49" s="69"/>
    </row>
    <row r="50" customFormat="false" ht="15" hidden="false" customHeight="false" outlineLevel="0" collapsed="false">
      <c r="H50" s="68"/>
      <c r="I50" s="68"/>
      <c r="L50" s="69"/>
    </row>
    <row r="51" customFormat="false" ht="15" hidden="false" customHeight="false" outlineLevel="0" collapsed="false">
      <c r="H51" s="68"/>
      <c r="I51" s="68"/>
      <c r="L51" s="69"/>
    </row>
    <row r="52" customFormat="false" ht="15" hidden="false" customHeight="false" outlineLevel="0" collapsed="false">
      <c r="H52" s="68"/>
      <c r="I52" s="68"/>
      <c r="L52" s="69"/>
    </row>
    <row r="53" customFormat="false" ht="15" hidden="false" customHeight="false" outlineLevel="0" collapsed="false">
      <c r="H53" s="68"/>
      <c r="I53" s="68"/>
      <c r="L53" s="69"/>
    </row>
    <row r="54" customFormat="false" ht="15" hidden="false" customHeight="false" outlineLevel="0" collapsed="false">
      <c r="H54" s="68"/>
      <c r="I54" s="68"/>
      <c r="L54" s="69"/>
    </row>
    <row r="55" customFormat="false" ht="15" hidden="false" customHeight="false" outlineLevel="0" collapsed="false">
      <c r="H55" s="68"/>
      <c r="I55" s="68"/>
      <c r="L55" s="69"/>
    </row>
    <row r="56" customFormat="false" ht="15" hidden="false" customHeight="false" outlineLevel="0" collapsed="false">
      <c r="H56" s="68"/>
      <c r="I56" s="68"/>
      <c r="L56" s="69"/>
    </row>
    <row r="57" customFormat="false" ht="15" hidden="false" customHeight="false" outlineLevel="0" collapsed="false">
      <c r="H57" s="68"/>
      <c r="I57" s="68"/>
      <c r="L57" s="69"/>
    </row>
    <row r="58" customFormat="false" ht="15" hidden="false" customHeight="false" outlineLevel="0" collapsed="false">
      <c r="H58" s="68"/>
      <c r="I58" s="68"/>
      <c r="L58" s="69"/>
    </row>
    <row r="59" customFormat="false" ht="15" hidden="false" customHeight="false" outlineLevel="0" collapsed="false">
      <c r="H59" s="68"/>
      <c r="I59" s="68"/>
      <c r="L59" s="69"/>
    </row>
    <row r="60" customFormat="false" ht="15" hidden="false" customHeight="false" outlineLevel="0" collapsed="false">
      <c r="H60" s="68"/>
      <c r="I60" s="68"/>
      <c r="L60" s="69"/>
    </row>
    <row r="61" customFormat="false" ht="15" hidden="false" customHeight="false" outlineLevel="0" collapsed="false">
      <c r="H61" s="68"/>
      <c r="I61" s="68"/>
      <c r="L61" s="69"/>
    </row>
    <row r="62" customFormat="false" ht="15" hidden="false" customHeight="false" outlineLevel="0" collapsed="false">
      <c r="H62" s="68"/>
      <c r="I62" s="68"/>
      <c r="L62" s="69"/>
    </row>
    <row r="63" customFormat="false" ht="15" hidden="false" customHeight="false" outlineLevel="0" collapsed="false">
      <c r="H63" s="68"/>
      <c r="I63" s="68"/>
      <c r="L63" s="69"/>
    </row>
    <row r="64" customFormat="false" ht="15" hidden="false" customHeight="false" outlineLevel="0" collapsed="false">
      <c r="H64" s="68"/>
      <c r="I64" s="68"/>
      <c r="L64" s="69"/>
    </row>
    <row r="65" customFormat="false" ht="15" hidden="false" customHeight="false" outlineLevel="0" collapsed="false">
      <c r="H65" s="68"/>
      <c r="I65" s="68"/>
      <c r="L65" s="69"/>
    </row>
    <row r="66" customFormat="false" ht="15" hidden="false" customHeight="false" outlineLevel="0" collapsed="false">
      <c r="H66" s="68"/>
      <c r="I66" s="68"/>
      <c r="L66" s="69"/>
    </row>
    <row r="67" customFormat="false" ht="15" hidden="false" customHeight="false" outlineLevel="0" collapsed="false">
      <c r="H67" s="68"/>
      <c r="I67" s="68"/>
      <c r="L67" s="69"/>
    </row>
    <row r="68" customFormat="false" ht="15" hidden="false" customHeight="false" outlineLevel="0" collapsed="false">
      <c r="H68" s="68"/>
      <c r="I68" s="68"/>
      <c r="L68" s="69"/>
    </row>
    <row r="69" customFormat="false" ht="15" hidden="false" customHeight="false" outlineLevel="0" collapsed="false">
      <c r="H69" s="68"/>
      <c r="I69" s="68"/>
      <c r="L69" s="69"/>
    </row>
    <row r="70" customFormat="false" ht="15" hidden="false" customHeight="false" outlineLevel="0" collapsed="false">
      <c r="H70" s="68"/>
      <c r="I70" s="68"/>
      <c r="L70" s="69"/>
    </row>
    <row r="71" customFormat="false" ht="15" hidden="false" customHeight="false" outlineLevel="0" collapsed="false">
      <c r="H71" s="68"/>
      <c r="I71" s="68"/>
      <c r="L71" s="69"/>
    </row>
    <row r="72" customFormat="false" ht="15" hidden="false" customHeight="false" outlineLevel="0" collapsed="false">
      <c r="H72" s="68"/>
      <c r="I72" s="68"/>
      <c r="L72" s="69"/>
    </row>
    <row r="73" customFormat="false" ht="15" hidden="false" customHeight="false" outlineLevel="0" collapsed="false">
      <c r="H73" s="68"/>
      <c r="I73" s="68"/>
      <c r="L73" s="69"/>
    </row>
    <row r="74" customFormat="false" ht="15" hidden="false" customHeight="false" outlineLevel="0" collapsed="false">
      <c r="H74" s="68"/>
      <c r="I74" s="68"/>
      <c r="L74" s="69"/>
    </row>
    <row r="75" customFormat="false" ht="15" hidden="false" customHeight="false" outlineLevel="0" collapsed="false">
      <c r="H75" s="68"/>
      <c r="I75" s="68"/>
      <c r="L75" s="69"/>
    </row>
    <row r="76" customFormat="false" ht="15" hidden="false" customHeight="false" outlineLevel="0" collapsed="false">
      <c r="H76" s="68"/>
      <c r="I76" s="68"/>
      <c r="L76" s="69"/>
    </row>
    <row r="77" customFormat="false" ht="15" hidden="false" customHeight="false" outlineLevel="0" collapsed="false">
      <c r="H77" s="68"/>
      <c r="I77" s="68"/>
      <c r="L77" s="69"/>
    </row>
    <row r="78" customFormat="false" ht="15" hidden="false" customHeight="false" outlineLevel="0" collapsed="false">
      <c r="H78" s="68"/>
      <c r="I78" s="68"/>
      <c r="L78" s="69"/>
    </row>
    <row r="79" customFormat="false" ht="15" hidden="false" customHeight="false" outlineLevel="0" collapsed="false">
      <c r="H79" s="68"/>
      <c r="I79" s="68"/>
      <c r="L79" s="69"/>
    </row>
    <row r="80" customFormat="false" ht="15" hidden="false" customHeight="false" outlineLevel="0" collapsed="false">
      <c r="H80" s="68"/>
      <c r="I80" s="68"/>
      <c r="L80" s="69"/>
    </row>
    <row r="81" customFormat="false" ht="15" hidden="false" customHeight="false" outlineLevel="0" collapsed="false">
      <c r="H81" s="68"/>
      <c r="I81" s="68"/>
      <c r="L81" s="69"/>
    </row>
    <row r="82" customFormat="false" ht="15" hidden="false" customHeight="false" outlineLevel="0" collapsed="false">
      <c r="H82" s="68"/>
      <c r="I82" s="68"/>
      <c r="L82" s="69"/>
    </row>
    <row r="83" customFormat="false" ht="15" hidden="false" customHeight="false" outlineLevel="0" collapsed="false">
      <c r="H83" s="68"/>
      <c r="I83" s="68"/>
      <c r="L83" s="69"/>
    </row>
    <row r="84" customFormat="false" ht="15" hidden="false" customHeight="false" outlineLevel="0" collapsed="false">
      <c r="H84" s="68"/>
      <c r="I84" s="68"/>
      <c r="L84" s="69"/>
    </row>
    <row r="85" customFormat="false" ht="15" hidden="false" customHeight="false" outlineLevel="0" collapsed="false">
      <c r="H85" s="68"/>
      <c r="I85" s="68"/>
      <c r="L85" s="69"/>
    </row>
    <row r="86" customFormat="false" ht="15" hidden="false" customHeight="false" outlineLevel="0" collapsed="false">
      <c r="H86" s="68"/>
      <c r="I86" s="68"/>
      <c r="L86" s="69"/>
    </row>
    <row r="87" customFormat="false" ht="15" hidden="false" customHeight="false" outlineLevel="0" collapsed="false">
      <c r="H87" s="68"/>
      <c r="I87" s="68"/>
      <c r="L87" s="69"/>
    </row>
    <row r="88" customFormat="false" ht="15" hidden="false" customHeight="false" outlineLevel="0" collapsed="false">
      <c r="H88" s="68"/>
      <c r="I88" s="68"/>
      <c r="L88" s="69"/>
    </row>
    <row r="89" customFormat="false" ht="15" hidden="false" customHeight="false" outlineLevel="0" collapsed="false">
      <c r="H89" s="68"/>
      <c r="I89" s="68"/>
      <c r="L89" s="69"/>
    </row>
    <row r="90" customFormat="false" ht="15" hidden="false" customHeight="false" outlineLevel="0" collapsed="false">
      <c r="H90" s="68"/>
      <c r="I90" s="68"/>
      <c r="L90" s="69"/>
    </row>
    <row r="91" customFormat="false" ht="15" hidden="false" customHeight="false" outlineLevel="0" collapsed="false">
      <c r="H91" s="68"/>
      <c r="I91" s="68"/>
      <c r="L91" s="69"/>
    </row>
    <row r="92" customFormat="false" ht="15" hidden="false" customHeight="false" outlineLevel="0" collapsed="false">
      <c r="H92" s="68"/>
      <c r="I92" s="68"/>
      <c r="L92" s="69"/>
    </row>
    <row r="93" customFormat="false" ht="15" hidden="false" customHeight="false" outlineLevel="0" collapsed="false">
      <c r="H93" s="68"/>
      <c r="I93" s="68"/>
      <c r="L93" s="69"/>
    </row>
    <row r="94" customFormat="false" ht="15" hidden="false" customHeight="false" outlineLevel="0" collapsed="false">
      <c r="H94" s="68"/>
      <c r="I94" s="68"/>
      <c r="L94" s="69"/>
    </row>
    <row r="95" customFormat="false" ht="15" hidden="false" customHeight="false" outlineLevel="0" collapsed="false">
      <c r="H95" s="68"/>
      <c r="I95" s="68"/>
      <c r="L95" s="69"/>
    </row>
    <row r="96" customFormat="false" ht="15" hidden="false" customHeight="false" outlineLevel="0" collapsed="false">
      <c r="H96" s="68"/>
      <c r="I96" s="68"/>
      <c r="L96" s="69"/>
    </row>
    <row r="97" customFormat="false" ht="15" hidden="false" customHeight="false" outlineLevel="0" collapsed="false">
      <c r="H97" s="68"/>
      <c r="I97" s="68"/>
      <c r="L97" s="69"/>
    </row>
    <row r="98" customFormat="false" ht="15" hidden="false" customHeight="false" outlineLevel="0" collapsed="false">
      <c r="H98" s="68"/>
      <c r="I98" s="68"/>
      <c r="L98" s="69"/>
    </row>
    <row r="99" customFormat="false" ht="15" hidden="false" customHeight="false" outlineLevel="0" collapsed="false">
      <c r="H99" s="68"/>
      <c r="I99" s="68"/>
      <c r="L99" s="69"/>
    </row>
    <row r="100" customFormat="false" ht="15" hidden="false" customHeight="false" outlineLevel="0" collapsed="false">
      <c r="H100" s="68"/>
      <c r="I100" s="68"/>
      <c r="L100" s="69"/>
    </row>
    <row r="101" customFormat="false" ht="15" hidden="false" customHeight="false" outlineLevel="0" collapsed="false">
      <c r="H101" s="68"/>
      <c r="I101" s="68"/>
      <c r="L101" s="69"/>
    </row>
    <row r="102" customFormat="false" ht="15" hidden="false" customHeight="false" outlineLevel="0" collapsed="false">
      <c r="H102" s="68"/>
      <c r="I102" s="68"/>
      <c r="L102" s="69"/>
    </row>
    <row r="103" customFormat="false" ht="15" hidden="false" customHeight="false" outlineLevel="0" collapsed="false">
      <c r="H103" s="68"/>
      <c r="I103" s="68"/>
      <c r="L103" s="69"/>
    </row>
    <row r="104" customFormat="false" ht="15" hidden="false" customHeight="false" outlineLevel="0" collapsed="false">
      <c r="H104" s="68"/>
      <c r="I104" s="68"/>
      <c r="L104" s="69"/>
    </row>
    <row r="105" customFormat="false" ht="15" hidden="false" customHeight="false" outlineLevel="0" collapsed="false">
      <c r="H105" s="68"/>
      <c r="I105" s="68"/>
      <c r="L105" s="69"/>
    </row>
    <row r="106" customFormat="false" ht="15" hidden="false" customHeight="false" outlineLevel="0" collapsed="false">
      <c r="H106" s="68"/>
      <c r="I106" s="68"/>
      <c r="L106" s="69"/>
    </row>
    <row r="107" customFormat="false" ht="15" hidden="false" customHeight="false" outlineLevel="0" collapsed="false">
      <c r="H107" s="68"/>
      <c r="I107" s="68"/>
      <c r="L107" s="69"/>
    </row>
    <row r="108" customFormat="false" ht="15" hidden="false" customHeight="false" outlineLevel="0" collapsed="false">
      <c r="H108" s="68"/>
      <c r="I108" s="68"/>
      <c r="L108" s="69"/>
    </row>
    <row r="109" customFormat="false" ht="15" hidden="false" customHeight="false" outlineLevel="0" collapsed="false">
      <c r="H109" s="68"/>
      <c r="I109" s="68"/>
      <c r="L109" s="69"/>
    </row>
    <row r="110" customFormat="false" ht="15" hidden="false" customHeight="false" outlineLevel="0" collapsed="false">
      <c r="H110" s="68"/>
      <c r="I110" s="68"/>
      <c r="L110" s="69"/>
    </row>
    <row r="111" customFormat="false" ht="15" hidden="false" customHeight="false" outlineLevel="0" collapsed="false">
      <c r="H111" s="68"/>
      <c r="I111" s="68"/>
      <c r="L111" s="69"/>
    </row>
    <row r="112" customFormat="false" ht="15" hidden="false" customHeight="false" outlineLevel="0" collapsed="false">
      <c r="H112" s="68"/>
      <c r="I112" s="68"/>
      <c r="L112" s="69"/>
    </row>
    <row r="113" customFormat="false" ht="15" hidden="false" customHeight="false" outlineLevel="0" collapsed="false">
      <c r="H113" s="68"/>
      <c r="I113" s="68"/>
      <c r="L113" s="69"/>
    </row>
    <row r="114" customFormat="false" ht="15" hidden="false" customHeight="false" outlineLevel="0" collapsed="false">
      <c r="H114" s="68"/>
      <c r="I114" s="68"/>
      <c r="L114" s="69"/>
    </row>
    <row r="115" customFormat="false" ht="15" hidden="false" customHeight="false" outlineLevel="0" collapsed="false">
      <c r="H115" s="68"/>
      <c r="I115" s="68"/>
      <c r="L115" s="69"/>
    </row>
    <row r="116" customFormat="false" ht="15" hidden="false" customHeight="false" outlineLevel="0" collapsed="false">
      <c r="H116" s="68"/>
      <c r="I116" s="68"/>
      <c r="L116" s="69"/>
    </row>
    <row r="117" customFormat="false" ht="15" hidden="false" customHeight="false" outlineLevel="0" collapsed="false">
      <c r="H117" s="68"/>
      <c r="I117" s="68"/>
      <c r="L117" s="69"/>
    </row>
    <row r="118" customFormat="false" ht="15" hidden="false" customHeight="false" outlineLevel="0" collapsed="false">
      <c r="H118" s="68"/>
      <c r="I118" s="68"/>
      <c r="L118" s="69"/>
    </row>
    <row r="119" customFormat="false" ht="15" hidden="false" customHeight="false" outlineLevel="0" collapsed="false">
      <c r="H119" s="68"/>
      <c r="I119" s="68"/>
      <c r="L119" s="69"/>
    </row>
    <row r="120" customFormat="false" ht="15" hidden="false" customHeight="false" outlineLevel="0" collapsed="false">
      <c r="H120" s="68"/>
      <c r="I120" s="68"/>
      <c r="L120" s="69"/>
    </row>
    <row r="121" customFormat="false" ht="15" hidden="false" customHeight="false" outlineLevel="0" collapsed="false">
      <c r="H121" s="68"/>
      <c r="I121" s="68"/>
      <c r="L121" s="69"/>
    </row>
    <row r="122" customFormat="false" ht="15" hidden="false" customHeight="false" outlineLevel="0" collapsed="false">
      <c r="H122" s="68"/>
      <c r="I122" s="68"/>
      <c r="L122" s="69"/>
    </row>
    <row r="123" customFormat="false" ht="15" hidden="false" customHeight="false" outlineLevel="0" collapsed="false">
      <c r="H123" s="68"/>
      <c r="I123" s="68"/>
      <c r="L123" s="69"/>
    </row>
    <row r="124" customFormat="false" ht="15" hidden="false" customHeight="false" outlineLevel="0" collapsed="false">
      <c r="H124" s="68"/>
      <c r="I124" s="68"/>
      <c r="L124" s="69"/>
    </row>
    <row r="125" customFormat="false" ht="15" hidden="false" customHeight="false" outlineLevel="0" collapsed="false">
      <c r="H125" s="68"/>
      <c r="I125" s="68"/>
      <c r="L125" s="69"/>
    </row>
    <row r="126" customFormat="false" ht="15" hidden="false" customHeight="false" outlineLevel="0" collapsed="false">
      <c r="H126" s="68"/>
      <c r="I126" s="68"/>
      <c r="L126" s="69"/>
    </row>
    <row r="127" customFormat="false" ht="15" hidden="false" customHeight="false" outlineLevel="0" collapsed="false">
      <c r="H127" s="68"/>
      <c r="I127" s="68"/>
      <c r="L127" s="69"/>
    </row>
    <row r="128" customFormat="false" ht="15" hidden="false" customHeight="false" outlineLevel="0" collapsed="false">
      <c r="H128" s="68"/>
      <c r="I128" s="68"/>
      <c r="L128" s="69"/>
    </row>
    <row r="129" customFormat="false" ht="15" hidden="false" customHeight="false" outlineLevel="0" collapsed="false">
      <c r="H129" s="68"/>
      <c r="I129" s="68"/>
      <c r="L129" s="69"/>
    </row>
    <row r="130" customFormat="false" ht="15" hidden="false" customHeight="false" outlineLevel="0" collapsed="false">
      <c r="H130" s="68"/>
      <c r="I130" s="68"/>
      <c r="L130" s="69"/>
    </row>
    <row r="131" customFormat="false" ht="15" hidden="false" customHeight="false" outlineLevel="0" collapsed="false">
      <c r="H131" s="68"/>
      <c r="I131" s="68"/>
      <c r="L131" s="69"/>
    </row>
    <row r="132" customFormat="false" ht="15" hidden="false" customHeight="false" outlineLevel="0" collapsed="false">
      <c r="H132" s="68"/>
      <c r="I132" s="68"/>
      <c r="L132" s="69"/>
    </row>
    <row r="133" customFormat="false" ht="15" hidden="false" customHeight="false" outlineLevel="0" collapsed="false">
      <c r="H133" s="68"/>
      <c r="I133" s="68"/>
      <c r="L133" s="69"/>
    </row>
    <row r="134" customFormat="false" ht="15" hidden="false" customHeight="false" outlineLevel="0" collapsed="false">
      <c r="H134" s="68"/>
      <c r="I134" s="68"/>
      <c r="L134" s="69"/>
    </row>
    <row r="135" customFormat="false" ht="15" hidden="false" customHeight="false" outlineLevel="0" collapsed="false">
      <c r="H135" s="68"/>
      <c r="I135" s="68"/>
      <c r="L135" s="69"/>
    </row>
    <row r="136" customFormat="false" ht="15" hidden="false" customHeight="false" outlineLevel="0" collapsed="false">
      <c r="H136" s="68"/>
      <c r="I136" s="68"/>
      <c r="L136" s="69"/>
    </row>
    <row r="137" customFormat="false" ht="15" hidden="false" customHeight="false" outlineLevel="0" collapsed="false">
      <c r="H137" s="68"/>
      <c r="I137" s="68"/>
      <c r="L137" s="69"/>
    </row>
    <row r="138" customFormat="false" ht="15" hidden="false" customHeight="false" outlineLevel="0" collapsed="false">
      <c r="H138" s="68"/>
      <c r="I138" s="68"/>
      <c r="L138" s="69"/>
    </row>
    <row r="139" customFormat="false" ht="15" hidden="false" customHeight="false" outlineLevel="0" collapsed="false">
      <c r="H139" s="68"/>
      <c r="I139" s="68"/>
      <c r="L139" s="69"/>
    </row>
    <row r="140" customFormat="false" ht="15" hidden="false" customHeight="false" outlineLevel="0" collapsed="false">
      <c r="H140" s="68"/>
      <c r="I140" s="68"/>
      <c r="L140" s="69"/>
    </row>
    <row r="141" customFormat="false" ht="15" hidden="false" customHeight="false" outlineLevel="0" collapsed="false">
      <c r="H141" s="68"/>
      <c r="I141" s="68"/>
      <c r="L141" s="69"/>
    </row>
    <row r="142" customFormat="false" ht="15" hidden="false" customHeight="false" outlineLevel="0" collapsed="false">
      <c r="H142" s="68"/>
      <c r="I142" s="68"/>
      <c r="L142" s="69"/>
    </row>
    <row r="143" customFormat="false" ht="15" hidden="false" customHeight="false" outlineLevel="0" collapsed="false">
      <c r="H143" s="68"/>
      <c r="I143" s="68"/>
      <c r="L143" s="69"/>
    </row>
    <row r="144" customFormat="false" ht="15" hidden="false" customHeight="false" outlineLevel="0" collapsed="false">
      <c r="H144" s="68"/>
      <c r="I144" s="68"/>
      <c r="L144" s="69"/>
    </row>
    <row r="145" customFormat="false" ht="15" hidden="false" customHeight="false" outlineLevel="0" collapsed="false">
      <c r="H145" s="68"/>
      <c r="I145" s="68"/>
      <c r="L145" s="69"/>
    </row>
    <row r="146" customFormat="false" ht="15" hidden="false" customHeight="false" outlineLevel="0" collapsed="false">
      <c r="H146" s="68"/>
      <c r="I146" s="68"/>
      <c r="L146" s="69"/>
    </row>
    <row r="147" customFormat="false" ht="15" hidden="false" customHeight="false" outlineLevel="0" collapsed="false">
      <c r="H147" s="68"/>
      <c r="I147" s="68"/>
      <c r="L147" s="69"/>
    </row>
    <row r="148" customFormat="false" ht="15" hidden="false" customHeight="false" outlineLevel="0" collapsed="false">
      <c r="H148" s="68"/>
      <c r="I148" s="68"/>
      <c r="L148" s="69"/>
    </row>
    <row r="149" customFormat="false" ht="15" hidden="false" customHeight="false" outlineLevel="0" collapsed="false">
      <c r="H149" s="68"/>
      <c r="I149" s="68"/>
      <c r="L149" s="69"/>
    </row>
    <row r="150" customFormat="false" ht="15" hidden="false" customHeight="false" outlineLevel="0" collapsed="false">
      <c r="H150" s="68"/>
      <c r="I150" s="68"/>
      <c r="L150" s="69"/>
    </row>
    <row r="151" customFormat="false" ht="15" hidden="false" customHeight="false" outlineLevel="0" collapsed="false">
      <c r="H151" s="68"/>
      <c r="I151" s="68"/>
      <c r="L151" s="69"/>
    </row>
    <row r="152" customFormat="false" ht="15" hidden="false" customHeight="false" outlineLevel="0" collapsed="false">
      <c r="H152" s="68"/>
      <c r="I152" s="68"/>
      <c r="L152" s="69"/>
    </row>
    <row r="153" customFormat="false" ht="15" hidden="false" customHeight="false" outlineLevel="0" collapsed="false">
      <c r="H153" s="68"/>
      <c r="I153" s="68"/>
      <c r="L153" s="69"/>
    </row>
    <row r="154" customFormat="false" ht="15" hidden="false" customHeight="false" outlineLevel="0" collapsed="false">
      <c r="H154" s="68"/>
      <c r="I154" s="68"/>
      <c r="L154" s="69"/>
    </row>
    <row r="155" customFormat="false" ht="15" hidden="false" customHeight="false" outlineLevel="0" collapsed="false">
      <c r="H155" s="68"/>
      <c r="I155" s="68"/>
      <c r="L155" s="69"/>
    </row>
    <row r="156" customFormat="false" ht="15" hidden="false" customHeight="false" outlineLevel="0" collapsed="false">
      <c r="H156" s="68"/>
      <c r="I156" s="68"/>
      <c r="L156" s="69"/>
    </row>
    <row r="157" customFormat="false" ht="15" hidden="false" customHeight="false" outlineLevel="0" collapsed="false">
      <c r="H157" s="68"/>
      <c r="I157" s="68"/>
      <c r="L157" s="69"/>
    </row>
    <row r="158" customFormat="false" ht="15" hidden="false" customHeight="false" outlineLevel="0" collapsed="false">
      <c r="H158" s="68"/>
      <c r="I158" s="68"/>
      <c r="L158" s="69"/>
    </row>
    <row r="159" customFormat="false" ht="15" hidden="false" customHeight="false" outlineLevel="0" collapsed="false">
      <c r="H159" s="68"/>
      <c r="I159" s="68"/>
      <c r="L159" s="69"/>
    </row>
    <row r="160" customFormat="false" ht="15" hidden="false" customHeight="false" outlineLevel="0" collapsed="false">
      <c r="H160" s="68"/>
      <c r="I160" s="68"/>
      <c r="L160" s="69"/>
    </row>
    <row r="161" customFormat="false" ht="15" hidden="false" customHeight="false" outlineLevel="0" collapsed="false">
      <c r="H161" s="68"/>
      <c r="I161" s="68"/>
      <c r="L161" s="69"/>
    </row>
    <row r="162" customFormat="false" ht="15" hidden="false" customHeight="false" outlineLevel="0" collapsed="false">
      <c r="H162" s="68"/>
      <c r="I162" s="68"/>
      <c r="L162" s="69"/>
    </row>
    <row r="163" customFormat="false" ht="15" hidden="false" customHeight="false" outlineLevel="0" collapsed="false">
      <c r="H163" s="68"/>
      <c r="I163" s="68"/>
      <c r="L163" s="69"/>
    </row>
    <row r="164" customFormat="false" ht="15" hidden="false" customHeight="false" outlineLevel="0" collapsed="false">
      <c r="H164" s="68"/>
      <c r="I164" s="68"/>
      <c r="L164" s="69"/>
    </row>
    <row r="165" customFormat="false" ht="15" hidden="false" customHeight="false" outlineLevel="0" collapsed="false">
      <c r="H165" s="68"/>
      <c r="I165" s="68"/>
      <c r="L165" s="69"/>
    </row>
    <row r="166" customFormat="false" ht="15" hidden="false" customHeight="false" outlineLevel="0" collapsed="false">
      <c r="H166" s="68"/>
      <c r="I166" s="68"/>
      <c r="L166" s="69"/>
    </row>
    <row r="167" customFormat="false" ht="15" hidden="false" customHeight="false" outlineLevel="0" collapsed="false">
      <c r="H167" s="68"/>
      <c r="I167" s="68"/>
      <c r="L167" s="69"/>
    </row>
    <row r="168" customFormat="false" ht="15" hidden="false" customHeight="false" outlineLevel="0" collapsed="false">
      <c r="H168" s="68"/>
      <c r="I168" s="68"/>
      <c r="L168" s="69"/>
    </row>
    <row r="169" customFormat="false" ht="15" hidden="false" customHeight="false" outlineLevel="0" collapsed="false">
      <c r="H169" s="68"/>
      <c r="I169" s="68"/>
      <c r="L169" s="69"/>
    </row>
    <row r="170" customFormat="false" ht="15" hidden="false" customHeight="false" outlineLevel="0" collapsed="false">
      <c r="H170" s="68"/>
      <c r="I170" s="68"/>
      <c r="L170" s="69"/>
    </row>
    <row r="171" customFormat="false" ht="15" hidden="false" customHeight="false" outlineLevel="0" collapsed="false">
      <c r="H171" s="68"/>
      <c r="I171" s="68"/>
      <c r="L171" s="69"/>
    </row>
    <row r="172" customFormat="false" ht="15" hidden="false" customHeight="false" outlineLevel="0" collapsed="false">
      <c r="H172" s="68"/>
      <c r="I172" s="68"/>
      <c r="L172" s="69"/>
    </row>
    <row r="173" customFormat="false" ht="15" hidden="false" customHeight="false" outlineLevel="0" collapsed="false">
      <c r="H173" s="68"/>
      <c r="I173" s="68"/>
      <c r="L173" s="69"/>
    </row>
    <row r="174" customFormat="false" ht="15" hidden="false" customHeight="false" outlineLevel="0" collapsed="false">
      <c r="H174" s="68"/>
      <c r="I174" s="68"/>
      <c r="L174" s="69"/>
    </row>
    <row r="175" customFormat="false" ht="15" hidden="false" customHeight="false" outlineLevel="0" collapsed="false">
      <c r="H175" s="68"/>
      <c r="I175" s="68"/>
      <c r="L175" s="69"/>
    </row>
    <row r="176" customFormat="false" ht="15" hidden="false" customHeight="false" outlineLevel="0" collapsed="false">
      <c r="H176" s="68"/>
      <c r="I176" s="68"/>
      <c r="L176" s="69"/>
    </row>
    <row r="177" customFormat="false" ht="15" hidden="false" customHeight="false" outlineLevel="0" collapsed="false">
      <c r="H177" s="68"/>
      <c r="I177" s="68"/>
      <c r="L177" s="69"/>
    </row>
    <row r="178" customFormat="false" ht="15" hidden="false" customHeight="false" outlineLevel="0" collapsed="false">
      <c r="H178" s="68"/>
      <c r="I178" s="68"/>
      <c r="L178" s="69"/>
    </row>
    <row r="179" customFormat="false" ht="15" hidden="false" customHeight="false" outlineLevel="0" collapsed="false">
      <c r="H179" s="68"/>
      <c r="I179" s="68"/>
      <c r="L179" s="69"/>
    </row>
    <row r="180" customFormat="false" ht="15" hidden="false" customHeight="false" outlineLevel="0" collapsed="false">
      <c r="H180" s="68"/>
      <c r="I180" s="68"/>
      <c r="L180" s="69"/>
    </row>
    <row r="181" customFormat="false" ht="15" hidden="false" customHeight="false" outlineLevel="0" collapsed="false">
      <c r="H181" s="68"/>
      <c r="I181" s="68"/>
      <c r="L181" s="69"/>
    </row>
    <row r="182" customFormat="false" ht="15" hidden="false" customHeight="false" outlineLevel="0" collapsed="false">
      <c r="H182" s="68"/>
      <c r="I182" s="68"/>
      <c r="L182" s="69"/>
    </row>
    <row r="183" customFormat="false" ht="15" hidden="false" customHeight="false" outlineLevel="0" collapsed="false">
      <c r="H183" s="68"/>
      <c r="I183" s="68"/>
      <c r="L183" s="69"/>
    </row>
    <row r="184" customFormat="false" ht="15" hidden="false" customHeight="false" outlineLevel="0" collapsed="false">
      <c r="H184" s="68"/>
      <c r="I184" s="68"/>
      <c r="L184" s="69"/>
    </row>
    <row r="185" customFormat="false" ht="15" hidden="false" customHeight="false" outlineLevel="0" collapsed="false">
      <c r="H185" s="68"/>
      <c r="I185" s="68"/>
      <c r="L185" s="69"/>
    </row>
    <row r="186" customFormat="false" ht="15" hidden="false" customHeight="false" outlineLevel="0" collapsed="false">
      <c r="H186" s="68"/>
      <c r="I186" s="68"/>
      <c r="L186" s="69"/>
    </row>
    <row r="187" customFormat="false" ht="15" hidden="false" customHeight="false" outlineLevel="0" collapsed="false">
      <c r="H187" s="68"/>
      <c r="I187" s="68"/>
      <c r="L187" s="69"/>
    </row>
    <row r="188" customFormat="false" ht="15" hidden="false" customHeight="false" outlineLevel="0" collapsed="false">
      <c r="H188" s="68"/>
      <c r="I188" s="68"/>
      <c r="L188" s="69"/>
    </row>
    <row r="189" customFormat="false" ht="15" hidden="false" customHeight="false" outlineLevel="0" collapsed="false">
      <c r="H189" s="68"/>
      <c r="I189" s="68"/>
      <c r="L189" s="69"/>
    </row>
    <row r="190" customFormat="false" ht="15" hidden="false" customHeight="false" outlineLevel="0" collapsed="false">
      <c r="H190" s="68"/>
      <c r="I190" s="68"/>
      <c r="L190" s="69"/>
    </row>
    <row r="191" customFormat="false" ht="15" hidden="false" customHeight="false" outlineLevel="0" collapsed="false">
      <c r="H191" s="68"/>
      <c r="I191" s="68"/>
      <c r="L191" s="69"/>
    </row>
    <row r="192" customFormat="false" ht="15" hidden="false" customHeight="false" outlineLevel="0" collapsed="false">
      <c r="H192" s="68"/>
      <c r="I192" s="68"/>
      <c r="L192" s="69"/>
    </row>
    <row r="193" customFormat="false" ht="15" hidden="false" customHeight="false" outlineLevel="0" collapsed="false">
      <c r="H193" s="68"/>
      <c r="I193" s="68"/>
      <c r="L193" s="69"/>
    </row>
    <row r="194" customFormat="false" ht="15" hidden="false" customHeight="false" outlineLevel="0" collapsed="false">
      <c r="H194" s="68"/>
      <c r="I194" s="68"/>
      <c r="L194" s="69"/>
    </row>
    <row r="195" customFormat="false" ht="15" hidden="false" customHeight="false" outlineLevel="0" collapsed="false">
      <c r="H195" s="68"/>
      <c r="I195" s="68"/>
      <c r="L195" s="69"/>
    </row>
    <row r="196" customFormat="false" ht="15" hidden="false" customHeight="false" outlineLevel="0" collapsed="false">
      <c r="H196" s="68"/>
      <c r="I196" s="68"/>
      <c r="L196" s="69"/>
    </row>
    <row r="197" customFormat="false" ht="15" hidden="false" customHeight="false" outlineLevel="0" collapsed="false">
      <c r="H197" s="68"/>
      <c r="I197" s="68"/>
      <c r="L197" s="69"/>
    </row>
    <row r="198" customFormat="false" ht="15" hidden="false" customHeight="false" outlineLevel="0" collapsed="false">
      <c r="H198" s="68"/>
      <c r="I198" s="68"/>
      <c r="L198" s="69"/>
    </row>
    <row r="199" customFormat="false" ht="15" hidden="false" customHeight="false" outlineLevel="0" collapsed="false">
      <c r="H199" s="68"/>
      <c r="I199" s="68"/>
      <c r="L199" s="69"/>
    </row>
    <row r="200" customFormat="false" ht="15" hidden="false" customHeight="false" outlineLevel="0" collapsed="false">
      <c r="H200" s="68"/>
      <c r="I200" s="68"/>
      <c r="L200" s="69"/>
    </row>
  </sheetData>
  <mergeCells count="3">
    <mergeCell ref="A1:M1"/>
    <mergeCell ref="A2:M2"/>
    <mergeCell ref="A37:I37"/>
  </mergeCells>
  <dataValidations count="5">
    <dataValidation allowBlank="true" errorStyle="stop" operator="between" showDropDown="false" showErrorMessage="false" showInputMessage="false" sqref="B5:B200" type="list">
      <formula1>"Existente,Nuevo,Optimización"</formula1>
      <formula2>0</formula2>
    </dataValidation>
    <dataValidation allowBlank="true" errorStyle="stop" operator="between" showDropDown="false" showErrorMessage="false" showInputMessage="false" sqref="C5:C200" type="list">
      <formula1>"No iniciado,En progreso,Completado,Pendiente,Bloqueado"</formula1>
      <formula2>0</formula2>
    </dataValidation>
    <dataValidation allowBlank="true" errorStyle="stop" operator="between" showDropDown="false" showErrorMessage="false" showInputMessage="false" sqref="E5:E200" type="list">
      <formula1>"Alta,Media,Baja"</formula1>
      <formula2>0</formula2>
    </dataValidation>
    <dataValidation allowBlank="true" errorStyle="stop" operator="between" showDropDown="false" showErrorMessage="false" showInputMessage="false" sqref="G5:G200" type="list">
      <formula1>"Sergio Anaya,Yoarlys Carrillo,Leidy Iral,Yulieth Guarin"</formula1>
      <formula2>0</formula2>
    </dataValidation>
    <dataValidation allowBlank="true" errorStyle="stop" operator="between" showDropDown="false" showErrorMessage="false" showInputMessage="false" sqref="L5:L200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5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75" t="s">
        <v>218</v>
      </c>
      <c r="B1" s="75"/>
      <c r="C1" s="75"/>
      <c r="D1" s="75"/>
      <c r="E1" s="75"/>
      <c r="F1" s="75"/>
    </row>
    <row r="3" customFormat="false" ht="15" hidden="false" customHeight="false" outlineLevel="0" collapsed="false">
      <c r="A3" s="51" t="s">
        <v>219</v>
      </c>
      <c r="B3" s="51" t="s">
        <v>220</v>
      </c>
      <c r="C3" s="51" t="s">
        <v>221</v>
      </c>
      <c r="D3" s="51" t="s">
        <v>222</v>
      </c>
      <c r="E3" s="51" t="s">
        <v>223</v>
      </c>
      <c r="F3" s="51" t="s">
        <v>224</v>
      </c>
    </row>
    <row r="4" customFormat="false" ht="43.5" hidden="false" customHeight="true" outlineLevel="0" collapsed="false">
      <c r="A4" s="76" t="s">
        <v>225</v>
      </c>
      <c r="B4" s="55" t="s">
        <v>226</v>
      </c>
      <c r="C4" s="77" t="s">
        <v>227</v>
      </c>
      <c r="D4" s="53" t="s">
        <v>37</v>
      </c>
      <c r="E4" s="55" t="s">
        <v>228</v>
      </c>
      <c r="F4" s="53" t="s">
        <v>229</v>
      </c>
    </row>
    <row r="5" customFormat="false" ht="43.5" hidden="false" customHeight="true" outlineLevel="0" collapsed="false">
      <c r="A5" s="78" t="s">
        <v>230</v>
      </c>
      <c r="B5" s="61" t="s">
        <v>231</v>
      </c>
      <c r="C5" s="77" t="s">
        <v>227</v>
      </c>
      <c r="D5" s="60" t="s">
        <v>37</v>
      </c>
      <c r="E5" s="61" t="s">
        <v>232</v>
      </c>
      <c r="F5" s="60" t="s">
        <v>229</v>
      </c>
    </row>
    <row r="6" customFormat="false" ht="43.5" hidden="false" customHeight="true" outlineLevel="0" collapsed="false">
      <c r="A6" s="76" t="s">
        <v>233</v>
      </c>
      <c r="B6" s="55" t="s">
        <v>234</v>
      </c>
      <c r="C6" s="77" t="s">
        <v>227</v>
      </c>
      <c r="D6" s="53" t="s">
        <v>40</v>
      </c>
      <c r="E6" s="55" t="s">
        <v>235</v>
      </c>
      <c r="F6" s="53" t="s">
        <v>236</v>
      </c>
    </row>
    <row r="7" customFormat="false" ht="43.5" hidden="false" customHeight="true" outlineLevel="0" collapsed="false">
      <c r="A7" s="78" t="s">
        <v>237</v>
      </c>
      <c r="B7" s="61" t="s">
        <v>238</v>
      </c>
      <c r="C7" s="77" t="s">
        <v>227</v>
      </c>
      <c r="D7" s="60" t="s">
        <v>40</v>
      </c>
      <c r="E7" s="61" t="s">
        <v>239</v>
      </c>
      <c r="F7" s="60" t="s">
        <v>240</v>
      </c>
    </row>
    <row r="8" customFormat="false" ht="43.5" hidden="false" customHeight="true" outlineLevel="0" collapsed="false">
      <c r="A8" s="76" t="s">
        <v>241</v>
      </c>
      <c r="B8" s="55" t="s">
        <v>242</v>
      </c>
      <c r="C8" s="77" t="s">
        <v>227</v>
      </c>
      <c r="D8" s="53" t="s">
        <v>40</v>
      </c>
      <c r="E8" s="55" t="s">
        <v>243</v>
      </c>
      <c r="F8" s="53" t="s">
        <v>244</v>
      </c>
    </row>
    <row r="9" customFormat="false" ht="43.5" hidden="false" customHeight="true" outlineLevel="0" collapsed="false">
      <c r="A9" s="78" t="s">
        <v>245</v>
      </c>
      <c r="B9" s="61" t="s">
        <v>246</v>
      </c>
      <c r="C9" s="67" t="s">
        <v>247</v>
      </c>
      <c r="D9" s="60" t="s">
        <v>37</v>
      </c>
      <c r="E9" s="61" t="s">
        <v>248</v>
      </c>
      <c r="F9" s="60" t="s">
        <v>249</v>
      </c>
    </row>
    <row r="10" customFormat="false" ht="43.5" hidden="false" customHeight="true" outlineLevel="0" collapsed="false">
      <c r="A10" s="76" t="s">
        <v>250</v>
      </c>
      <c r="B10" s="55" t="s">
        <v>251</v>
      </c>
      <c r="C10" s="67" t="s">
        <v>247</v>
      </c>
      <c r="D10" s="53" t="s">
        <v>40</v>
      </c>
      <c r="E10" s="55" t="s">
        <v>252</v>
      </c>
      <c r="F10" s="53" t="s">
        <v>249</v>
      </c>
    </row>
    <row r="11" customFormat="false" ht="43.5" hidden="false" customHeight="true" outlineLevel="0" collapsed="false">
      <c r="A11" s="78" t="s">
        <v>253</v>
      </c>
      <c r="B11" s="61" t="s">
        <v>254</v>
      </c>
      <c r="C11" s="67" t="s">
        <v>247</v>
      </c>
      <c r="D11" s="60" t="s">
        <v>40</v>
      </c>
      <c r="E11" s="61" t="s">
        <v>255</v>
      </c>
      <c r="F11" s="60" t="s">
        <v>249</v>
      </c>
    </row>
    <row r="12" customFormat="false" ht="43.5" hidden="false" customHeight="true" outlineLevel="0" collapsed="false">
      <c r="A12" s="76" t="s">
        <v>256</v>
      </c>
      <c r="B12" s="55" t="s">
        <v>257</v>
      </c>
      <c r="C12" s="53" t="s">
        <v>126</v>
      </c>
      <c r="D12" s="53" t="s">
        <v>126</v>
      </c>
      <c r="E12" s="55" t="s">
        <v>258</v>
      </c>
      <c r="F12" s="53" t="s">
        <v>240</v>
      </c>
    </row>
    <row r="13" customFormat="false" ht="43.5" hidden="false" customHeight="true" outlineLevel="0" collapsed="false">
      <c r="A13" s="78" t="s">
        <v>259</v>
      </c>
      <c r="B13" s="61" t="s">
        <v>260</v>
      </c>
      <c r="C13" s="60" t="s">
        <v>126</v>
      </c>
      <c r="D13" s="60" t="s">
        <v>126</v>
      </c>
      <c r="E13" s="61" t="s">
        <v>261</v>
      </c>
      <c r="F13" s="60" t="s">
        <v>249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75" t="s">
        <v>262</v>
      </c>
      <c r="B1" s="75"/>
    </row>
    <row r="3" customFormat="false" ht="15" hidden="false" customHeight="false" outlineLevel="0" collapsed="false">
      <c r="A3" s="79" t="s">
        <v>263</v>
      </c>
      <c r="B3" s="79" t="s">
        <v>264</v>
      </c>
    </row>
    <row r="4" customFormat="false" ht="30" hidden="false" customHeight="true" outlineLevel="0" collapsed="false">
      <c r="A4" s="52" t="s">
        <v>65</v>
      </c>
      <c r="B4" s="55" t="s">
        <v>265</v>
      </c>
    </row>
    <row r="5" customFormat="false" ht="30" hidden="false" customHeight="true" outlineLevel="0" collapsed="false">
      <c r="A5" s="52" t="s">
        <v>119</v>
      </c>
      <c r="B5" s="55" t="s">
        <v>266</v>
      </c>
    </row>
    <row r="6" customFormat="false" ht="30" hidden="false" customHeight="true" outlineLevel="0" collapsed="false">
      <c r="A6" s="52" t="s">
        <v>120</v>
      </c>
      <c r="B6" s="55" t="s">
        <v>267</v>
      </c>
    </row>
    <row r="7" customFormat="false" ht="30" hidden="false" customHeight="true" outlineLevel="0" collapsed="false">
      <c r="A7" s="52" t="s">
        <v>268</v>
      </c>
      <c r="B7" s="55" t="s">
        <v>269</v>
      </c>
    </row>
    <row r="8" customFormat="false" ht="30" hidden="false" customHeight="true" outlineLevel="0" collapsed="false">
      <c r="A8" s="52" t="s">
        <v>122</v>
      </c>
      <c r="B8" s="55" t="s">
        <v>270</v>
      </c>
    </row>
    <row r="9" customFormat="false" ht="30" hidden="false" customHeight="true" outlineLevel="0" collapsed="false">
      <c r="A9" s="52" t="s">
        <v>123</v>
      </c>
      <c r="B9" s="55" t="s">
        <v>271</v>
      </c>
    </row>
    <row r="10" customFormat="false" ht="30" hidden="false" customHeight="true" outlineLevel="0" collapsed="false">
      <c r="A10" s="52" t="s">
        <v>18</v>
      </c>
      <c r="B10" s="55" t="s">
        <v>272</v>
      </c>
    </row>
    <row r="11" customFormat="false" ht="30" hidden="false" customHeight="true" outlineLevel="0" collapsed="false">
      <c r="A11" s="52" t="s">
        <v>273</v>
      </c>
      <c r="B11" s="55" t="s">
        <v>274</v>
      </c>
    </row>
    <row r="12" customFormat="false" ht="30" hidden="false" customHeight="true" outlineLevel="0" collapsed="false">
      <c r="A12" s="52" t="s">
        <v>275</v>
      </c>
      <c r="B12" s="55" t="s">
        <v>276</v>
      </c>
    </row>
    <row r="13" customFormat="false" ht="30" hidden="false" customHeight="true" outlineLevel="0" collapsed="false">
      <c r="A13" s="52" t="s">
        <v>277</v>
      </c>
      <c r="B13" s="55" t="s">
        <v>278</v>
      </c>
    </row>
    <row r="14" customFormat="false" ht="30" hidden="false" customHeight="true" outlineLevel="0" collapsed="false">
      <c r="A14" s="52" t="s">
        <v>279</v>
      </c>
      <c r="B14" s="55" t="s">
        <v>280</v>
      </c>
    </row>
    <row r="15" customFormat="false" ht="30" hidden="false" customHeight="true" outlineLevel="0" collapsed="false">
      <c r="A15" s="52" t="s">
        <v>281</v>
      </c>
      <c r="B15" s="55" t="s">
        <v>282</v>
      </c>
    </row>
    <row r="16" customFormat="false" ht="30" hidden="false" customHeight="true" outlineLevel="0" collapsed="false">
      <c r="A16" s="52" t="s">
        <v>283</v>
      </c>
      <c r="B16" s="55" t="s">
        <v>284</v>
      </c>
    </row>
    <row r="17" customFormat="false" ht="72" hidden="false" customHeight="true" outlineLevel="0" collapsed="false">
      <c r="A17" s="52" t="s">
        <v>285</v>
      </c>
      <c r="B17" s="55" t="s">
        <v>286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2026-07-28T13:41:07Z</dcterms:created>
  <dc:creator>Sergio Anaya</dc:creator>
  <dc:description/>
  <dc:language>es-CO</dc:language>
  <cp:lastModifiedBy/>
  <dcterms:modified xsi:type="dcterms:W3CDTF">2026-07-28T08:47:57Z</dcterms:modified>
  <cp:revision>1</cp:revision>
  <dc:subject/>
  <dc:title>Plan de Trabajo — Automatización Sara3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